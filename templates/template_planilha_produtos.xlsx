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teu\dev\cantina\cantina-backend\templates\"/>
    </mc:Choice>
  </mc:AlternateContent>
  <xr:revisionPtr revIDLastSave="0" documentId="13_ncr:1_{59B5A8B6-FC48-4028-A6ED-4791800E079E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Tutorial" sheetId="5" r:id="rId1"/>
    <sheet name="Doces" sheetId="1" r:id="rId2"/>
    <sheet name="Salgados" sheetId="2" r:id="rId3"/>
    <sheet name="Bebidas" sheetId="3" r:id="rId4"/>
    <sheet name="CONSOLIDADO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24" i="4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4" i="1"/>
  <c r="E5" i="2"/>
  <c r="E6" i="2"/>
  <c r="E7" i="2"/>
  <c r="E8" i="2"/>
  <c r="E9" i="2"/>
  <c r="E10" i="2"/>
  <c r="E11" i="2"/>
  <c r="E12" i="2"/>
  <c r="F12" i="2" s="1"/>
  <c r="E13" i="2"/>
  <c r="F13" i="2" s="1"/>
  <c r="E14" i="2"/>
  <c r="E15" i="2"/>
  <c r="E16" i="2"/>
  <c r="E17" i="2"/>
  <c r="E18" i="2"/>
  <c r="E19" i="2"/>
  <c r="E20" i="2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4" i="2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4" i="3"/>
  <c r="A24" i="4"/>
  <c r="A44" i="4"/>
  <c r="N5" i="2"/>
  <c r="F20" i="2"/>
  <c r="F19" i="2"/>
  <c r="F18" i="2"/>
  <c r="F17" i="2"/>
  <c r="F16" i="2"/>
  <c r="F15" i="2"/>
  <c r="F14" i="2"/>
  <c r="F11" i="2"/>
  <c r="F10" i="2"/>
  <c r="F9" i="2"/>
  <c r="F8" i="2"/>
  <c r="F7" i="2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44" i="4"/>
  <c r="C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2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B4" i="4"/>
  <c r="D4" i="4"/>
  <c r="O5" i="1"/>
  <c r="M7" i="2"/>
  <c r="O5" i="3"/>
  <c r="H63" i="4"/>
  <c r="G63" i="4"/>
  <c r="F63" i="4"/>
  <c r="E63" i="4"/>
  <c r="D63" i="4"/>
  <c r="B63" i="4"/>
  <c r="A63" i="4"/>
  <c r="H62" i="4"/>
  <c r="G62" i="4"/>
  <c r="F62" i="4"/>
  <c r="E62" i="4"/>
  <c r="D62" i="4"/>
  <c r="B62" i="4"/>
  <c r="A62" i="4"/>
  <c r="H61" i="4"/>
  <c r="G61" i="4"/>
  <c r="F61" i="4"/>
  <c r="E61" i="4"/>
  <c r="D61" i="4"/>
  <c r="B61" i="4"/>
  <c r="A61" i="4"/>
  <c r="H60" i="4"/>
  <c r="G60" i="4"/>
  <c r="F60" i="4"/>
  <c r="E60" i="4"/>
  <c r="D60" i="4"/>
  <c r="B60" i="4"/>
  <c r="A60" i="4"/>
  <c r="H59" i="4"/>
  <c r="G59" i="4"/>
  <c r="F59" i="4"/>
  <c r="E59" i="4"/>
  <c r="D59" i="4"/>
  <c r="B59" i="4"/>
  <c r="A59" i="4"/>
  <c r="H58" i="4"/>
  <c r="G58" i="4"/>
  <c r="F58" i="4"/>
  <c r="E58" i="4"/>
  <c r="D58" i="4"/>
  <c r="B58" i="4"/>
  <c r="A58" i="4"/>
  <c r="H57" i="4"/>
  <c r="G57" i="4"/>
  <c r="F57" i="4"/>
  <c r="E57" i="4"/>
  <c r="D57" i="4"/>
  <c r="B57" i="4"/>
  <c r="A57" i="4"/>
  <c r="H56" i="4"/>
  <c r="G56" i="4"/>
  <c r="F56" i="4"/>
  <c r="E56" i="4"/>
  <c r="D56" i="4"/>
  <c r="B56" i="4"/>
  <c r="A56" i="4"/>
  <c r="H55" i="4"/>
  <c r="G55" i="4"/>
  <c r="F55" i="4"/>
  <c r="E55" i="4"/>
  <c r="D55" i="4"/>
  <c r="B55" i="4"/>
  <c r="A55" i="4"/>
  <c r="H54" i="4"/>
  <c r="G54" i="4"/>
  <c r="F54" i="4"/>
  <c r="E54" i="4"/>
  <c r="D54" i="4"/>
  <c r="B54" i="4"/>
  <c r="A54" i="4"/>
  <c r="H53" i="4"/>
  <c r="G53" i="4"/>
  <c r="F53" i="4"/>
  <c r="E53" i="4"/>
  <c r="D53" i="4"/>
  <c r="B53" i="4"/>
  <c r="A53" i="4"/>
  <c r="H52" i="4"/>
  <c r="G52" i="4"/>
  <c r="F52" i="4"/>
  <c r="E52" i="4"/>
  <c r="D52" i="4"/>
  <c r="B52" i="4"/>
  <c r="A52" i="4"/>
  <c r="H51" i="4"/>
  <c r="G51" i="4"/>
  <c r="F51" i="4"/>
  <c r="E51" i="4"/>
  <c r="D51" i="4"/>
  <c r="B51" i="4"/>
  <c r="A51" i="4"/>
  <c r="H50" i="4"/>
  <c r="G50" i="4"/>
  <c r="F50" i="4"/>
  <c r="E50" i="4"/>
  <c r="D50" i="4"/>
  <c r="B50" i="4"/>
  <c r="A50" i="4"/>
  <c r="H49" i="4"/>
  <c r="G49" i="4"/>
  <c r="F49" i="4"/>
  <c r="E49" i="4"/>
  <c r="D49" i="4"/>
  <c r="B49" i="4"/>
  <c r="A49" i="4"/>
  <c r="H48" i="4"/>
  <c r="G48" i="4"/>
  <c r="F48" i="4"/>
  <c r="E48" i="4"/>
  <c r="D48" i="4"/>
  <c r="B48" i="4"/>
  <c r="A48" i="4"/>
  <c r="H47" i="4"/>
  <c r="G47" i="4"/>
  <c r="F47" i="4"/>
  <c r="E47" i="4"/>
  <c r="D47" i="4"/>
  <c r="B47" i="4"/>
  <c r="A47" i="4"/>
  <c r="H46" i="4"/>
  <c r="G46" i="4"/>
  <c r="F46" i="4"/>
  <c r="E46" i="4"/>
  <c r="D46" i="4"/>
  <c r="B46" i="4"/>
  <c r="A46" i="4"/>
  <c r="H45" i="4"/>
  <c r="G45" i="4"/>
  <c r="F45" i="4"/>
  <c r="E45" i="4"/>
  <c r="D45" i="4"/>
  <c r="B45" i="4"/>
  <c r="A45" i="4"/>
  <c r="H44" i="4"/>
  <c r="G44" i="4"/>
  <c r="F44" i="4"/>
  <c r="E44" i="4"/>
  <c r="D44" i="4"/>
  <c r="B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H23" i="4"/>
  <c r="G23" i="4"/>
  <c r="F23" i="4"/>
  <c r="E23" i="4"/>
  <c r="D23" i="4"/>
  <c r="B23" i="4"/>
  <c r="A23" i="4"/>
  <c r="H22" i="4"/>
  <c r="G22" i="4"/>
  <c r="F22" i="4"/>
  <c r="E22" i="4"/>
  <c r="D22" i="4"/>
  <c r="B22" i="4"/>
  <c r="A22" i="4"/>
  <c r="H21" i="4"/>
  <c r="G21" i="4"/>
  <c r="F21" i="4"/>
  <c r="E21" i="4"/>
  <c r="D21" i="4"/>
  <c r="B21" i="4"/>
  <c r="A21" i="4"/>
  <c r="H20" i="4"/>
  <c r="G20" i="4"/>
  <c r="F20" i="4"/>
  <c r="E20" i="4"/>
  <c r="D20" i="4"/>
  <c r="B20" i="4"/>
  <c r="A20" i="4"/>
  <c r="H19" i="4"/>
  <c r="G19" i="4"/>
  <c r="F19" i="4"/>
  <c r="E19" i="4"/>
  <c r="D19" i="4"/>
  <c r="B19" i="4"/>
  <c r="A19" i="4"/>
  <c r="H18" i="4"/>
  <c r="G18" i="4"/>
  <c r="F18" i="4"/>
  <c r="E18" i="4"/>
  <c r="D18" i="4"/>
  <c r="B18" i="4"/>
  <c r="A18" i="4"/>
  <c r="H17" i="4"/>
  <c r="G17" i="4"/>
  <c r="F17" i="4"/>
  <c r="E17" i="4"/>
  <c r="D17" i="4"/>
  <c r="B17" i="4"/>
  <c r="A17" i="4"/>
  <c r="H16" i="4"/>
  <c r="G16" i="4"/>
  <c r="F16" i="4"/>
  <c r="E16" i="4"/>
  <c r="D16" i="4"/>
  <c r="B16" i="4"/>
  <c r="A16" i="4"/>
  <c r="H15" i="4"/>
  <c r="G15" i="4"/>
  <c r="F15" i="4"/>
  <c r="E15" i="4"/>
  <c r="D15" i="4"/>
  <c r="B15" i="4"/>
  <c r="A15" i="4"/>
  <c r="H14" i="4"/>
  <c r="G14" i="4"/>
  <c r="F14" i="4"/>
  <c r="E14" i="4"/>
  <c r="D14" i="4"/>
  <c r="B14" i="4"/>
  <c r="A14" i="4"/>
  <c r="H13" i="4"/>
  <c r="G13" i="4"/>
  <c r="F13" i="4"/>
  <c r="E13" i="4"/>
  <c r="D13" i="4"/>
  <c r="B13" i="4"/>
  <c r="A13" i="4"/>
  <c r="H12" i="4"/>
  <c r="G12" i="4"/>
  <c r="F12" i="4"/>
  <c r="E12" i="4"/>
  <c r="D12" i="4"/>
  <c r="B12" i="4"/>
  <c r="A12" i="4"/>
  <c r="H11" i="4"/>
  <c r="G11" i="4"/>
  <c r="F11" i="4"/>
  <c r="E11" i="4"/>
  <c r="D11" i="4"/>
  <c r="B11" i="4"/>
  <c r="A11" i="4"/>
  <c r="H10" i="4"/>
  <c r="G10" i="4"/>
  <c r="F10" i="4"/>
  <c r="E10" i="4"/>
  <c r="D10" i="4"/>
  <c r="B10" i="4"/>
  <c r="A10" i="4"/>
  <c r="H9" i="4"/>
  <c r="G9" i="4"/>
  <c r="F9" i="4"/>
  <c r="E9" i="4"/>
  <c r="D9" i="4"/>
  <c r="B9" i="4"/>
  <c r="A9" i="4"/>
  <c r="H8" i="4"/>
  <c r="G8" i="4"/>
  <c r="F8" i="4"/>
  <c r="E8" i="4"/>
  <c r="D8" i="4"/>
  <c r="B8" i="4"/>
  <c r="A8" i="4"/>
  <c r="H7" i="4"/>
  <c r="G7" i="4"/>
  <c r="F7" i="4"/>
  <c r="E7" i="4"/>
  <c r="D7" i="4"/>
  <c r="B7" i="4"/>
  <c r="A7" i="4"/>
  <c r="H6" i="4"/>
  <c r="G6" i="4"/>
  <c r="F6" i="4"/>
  <c r="E6" i="4"/>
  <c r="D6" i="4"/>
  <c r="B6" i="4"/>
  <c r="A6" i="4"/>
  <c r="H5" i="4"/>
  <c r="G5" i="4"/>
  <c r="F5" i="4"/>
  <c r="E5" i="4"/>
  <c r="D5" i="4"/>
  <c r="B5" i="4"/>
  <c r="A5" i="4"/>
  <c r="H4" i="4"/>
  <c r="G4" i="4"/>
  <c r="F4" i="4"/>
  <c r="E4" i="4"/>
  <c r="A4" i="4"/>
  <c r="D66" i="4" l="1"/>
</calcChain>
</file>

<file path=xl/sharedStrings.xml><?xml version="1.0" encoding="utf-8"?>
<sst xmlns="http://schemas.openxmlformats.org/spreadsheetml/2006/main" count="96" uniqueCount="45">
  <si>
    <t>IMPORTAÇÃO DE PRODUTOS - DOCES</t>
  </si>
  <si>
    <t>Preencha os dados abaixo. Campos opcionais podem ficar em branco.</t>
  </si>
  <si>
    <t>Nome do Produto</t>
  </si>
  <si>
    <t>Preço Unitário (R$)</t>
  </si>
  <si>
    <t>Nº de Fardos (Opcional)</t>
  </si>
  <si>
    <t>Qtd por Fardo (Opcional)</t>
  </si>
  <si>
    <t>Quantidade Total</t>
  </si>
  <si>
    <t>Estoque Mínimo (Opcional)</t>
  </si>
  <si>
    <t>Chocolate Garoto</t>
  </si>
  <si>
    <t>Bala 7 Belo</t>
  </si>
  <si>
    <t>Pirulito Chup-Chup</t>
  </si>
  <si>
    <t>💡 IMPORTANTE: Quantidade Total = Nº de Fardos × Qtd por Fardo (calculado automaticamente se informar ambos)</t>
  </si>
  <si>
    <t>IMPORTAÇÃO DE PRODUTOS - SALGADOS</t>
  </si>
  <si>
    <t>IMPORTAÇÃO DE PRODUTOS - BEBIDAS</t>
  </si>
  <si>
    <t>Coca-Cola 2L</t>
  </si>
  <si>
    <t>Água Mineral 500ml</t>
  </si>
  <si>
    <t>Suco Del Valle</t>
  </si>
  <si>
    <t>CONSOLIDADO - ATUALIZAÇÃO AUTOMÁTICA</t>
  </si>
  <si>
    <t>⚡ AUTOMÁTICO! Preencha as abas Doces/Salgados/Bebidas e veja os produtos aparecerem aqui SEM linhas vazias!</t>
  </si>
  <si>
    <t>Categoria</t>
  </si>
  <si>
    <t>Nº de Fardos</t>
  </si>
  <si>
    <t>Qtd por Fardo</t>
  </si>
  <si>
    <t>Estoque Mínimo</t>
  </si>
  <si>
    <t>━━━━━━━━━━━━━━━━━━━━━━━━━━━━━━━━━━━━━━━━━━━━━━━━━━━━━━━━━━━━━━━━━</t>
  </si>
  <si>
    <t>TOTAL DE PRODUTOS:</t>
  </si>
  <si>
    <t>📋 Planilha gerada em 04/03/2026 às 15:48 | Pronta para importação no sistema</t>
  </si>
  <si>
    <t>⚠️ PARA IMPORTAR: Certifique-se de preencher ao menos o Nome e o Preço de cada produto.</t>
  </si>
  <si>
    <t>Coca-Cola zero</t>
  </si>
  <si>
    <t>Exemplo</t>
  </si>
  <si>
    <t>Preço de compra (R$)</t>
  </si>
  <si>
    <t>Doritos</t>
  </si>
  <si>
    <t>Torcida</t>
  </si>
  <si>
    <t>Pringles</t>
  </si>
  <si>
    <t>Cheetos</t>
  </si>
  <si>
    <t>OBS: Para compras em quantidades de fardos é possível inserir o preço do fardo direto, só informar a quantidade de fardos</t>
  </si>
  <si>
    <t>OBS: É possível também inserir o preço de compra de cada unidade, nesse caso não se informa o número de fardos, e só a quantidade total</t>
  </si>
  <si>
    <t>OBS: Pelo sistema usamos uma lógica de estoque mínimo, esse número indica uma quantidade mínima que deve ter de um produto, depois disso é criado um alerta para comprar mais desse produto</t>
  </si>
  <si>
    <t>Tutorial de como usar essa planilha</t>
  </si>
  <si>
    <t>1- Na parte inferior existem opções de aba para se escolher que indicam o tipo de produto que vai ser inserido no sistema</t>
  </si>
  <si>
    <r>
      <t xml:space="preserve">por enquanto existem os tipos </t>
    </r>
    <r>
      <rPr>
        <b/>
        <sz val="11"/>
        <color rgb="FFFF0000"/>
        <rFont val="Calibri"/>
        <family val="2"/>
        <scheme val="minor"/>
      </rPr>
      <t>DOCES</t>
    </r>
    <r>
      <rPr>
        <sz val="11"/>
        <color theme="1"/>
        <rFont val="Calibri"/>
        <family val="2"/>
        <scheme val="minor"/>
      </rPr>
      <t xml:space="preserve"> (Lacta, Suflair, etc), </t>
    </r>
    <r>
      <rPr>
        <b/>
        <sz val="11"/>
        <color theme="9"/>
        <rFont val="Calibri"/>
        <family val="2"/>
        <scheme val="minor"/>
      </rPr>
      <t>SALGADINHOS</t>
    </r>
    <r>
      <rPr>
        <sz val="11"/>
        <color theme="1"/>
        <rFont val="Calibri"/>
        <family val="2"/>
        <scheme val="minor"/>
      </rPr>
      <t xml:space="preserve"> (Torcida, Doritos, etc), </t>
    </r>
    <r>
      <rPr>
        <b/>
        <sz val="11"/>
        <color theme="8"/>
        <rFont val="Calibri"/>
        <family val="2"/>
        <scheme val="minor"/>
      </rPr>
      <t>BEBIDAS</t>
    </r>
    <r>
      <rPr>
        <sz val="11"/>
        <color theme="1"/>
        <rFont val="Calibri"/>
        <family val="2"/>
        <scheme val="minor"/>
      </rPr>
      <t xml:space="preserve"> (Guaraná, Coca, etc),</t>
    </r>
  </si>
  <si>
    <t>então você escolhe a aba do tipo de produto de acordo com o tipo que o produto desejado mais se encaixa.</t>
  </si>
  <si>
    <t>2- Dentro da aba vai existir uma tabela desse tipo, nela é possível inserir o nome do produto, o preço de compra (quanto custou para comprar o produto), preço unitário (valor que vai ser vendido o produto),</t>
  </si>
  <si>
    <t xml:space="preserve">Nº de fardos (quantidade de fardos comprados, se existir), Qtd por fardo (quantidade de produtos por fardo, se existir), quantidade total (número total de produtos), </t>
  </si>
  <si>
    <t>estoque mínimo (quantidade mínima que se deve ter do produto, se quiser informar)</t>
  </si>
  <si>
    <t>3- E é isso!! De resto temos uma aba "CONSOLIDADO" que é onde vai ficar a tabela com todas as informações dessas outras abas.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</si>
</sst>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\R\$\ #,##0.00"/>
  </numFmts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name val="Calibri"/>
    </font>
    <font>
      <b/>
      <sz val="11"/>
      <color rgb="FFFFFFFF"/>
      <name val="Calibri"/>
    </font>
    <font>
      <i/>
      <sz val="9"/>
      <color rgb="FF666666"/>
      <name val="Calibri"/>
    </font>
    <font>
      <b/>
      <i/>
      <sz val="10"/>
      <color rgb="FFFF0000"/>
      <name val="Calibri"/>
    </font>
    <font>
      <sz val="10"/>
      <color rgb="FF999999"/>
      <name val="Calibri"/>
    </font>
    <font>
      <b/>
      <sz val="11"/>
      <name val="Calibri"/>
    </font>
    <font>
      <b/>
      <sz val="10"/>
      <color rgb="FFFF0000"/>
      <name val="Calibri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CAF50"/>
        <bgColor rgb="FF4CAF50"/>
      </patternFill>
    </fill>
    <fill>
      <patternFill patternType="solid">
        <fgColor rgb="FFFFF3CD"/>
        <bgColor rgb="FFFFF3CD"/>
      </patternFill>
    </fill>
    <fill>
      <patternFill patternType="solid">
        <fgColor rgb="FFE3F2FD"/>
        <bgColor rgb="FFE3F2FD"/>
      </patternFill>
    </fill>
    <fill>
      <patternFill patternType="solid">
        <fgColor rgb="FFFFE6E6"/>
        <bgColor rgb="FFFFE6E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4" fontId="0" fillId="0" borderId="0" xfId="1" applyFont="1"/>
    <xf numFmtId="44" fontId="0" fillId="0" borderId="1" xfId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2" xfId="0" applyFont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64" fontId="0" fillId="7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64" fontId="0" fillId="8" borderId="1" xfId="0" applyNumberForma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10" borderId="1" xfId="0" applyFill="1" applyBorder="1" applyAlignment="1">
      <alignment horizontal="left" vertical="center"/>
    </xf>
    <xf numFmtId="164" fontId="0" fillId="10" borderId="1" xfId="0" applyNumberFormat="1" applyFill="1" applyBorder="1" applyAlignment="1">
      <alignment horizontal="center" vertical="center"/>
    </xf>
    <xf numFmtId="1" fontId="0" fillId="10" borderId="1" xfId="0" applyNumberFormat="1" applyFill="1" applyBorder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589359</xdr:colOff>
      <xdr:row>6</xdr:row>
      <xdr:rowOff>130969</xdr:rowOff>
    </xdr:from>
    <xdr:to>
      <xdr:col>15</xdr:col>
      <xdr:colOff>361275</xdr:colOff>
      <xdr:row>32</xdr:row>
      <xdr:rowOff>35718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06D43B-11B0-C147-30F3-893EFA17A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359" y="1446610"/>
          <a:ext cx="8880197" cy="4857749"/>
        </a:xfrm>
        <a:prstGeom prst="rect">
          <a:avLst/>
        </a:prstGeom>
      </xdr:spPr>
    </xdr:pic>
    <xdr:clientData/>
  </xdr:twoCellAnchor>
  <xdr:twoCellAnchor editAs="oneCell">
    <xdr:from>
      <xdr:col>1</xdr:col>
      <xdr:colOff>3663</xdr:colOff>
      <xdr:row>36</xdr:row>
      <xdr:rowOff>144709</xdr:rowOff>
    </xdr:from>
    <xdr:to>
      <xdr:col>19</xdr:col>
      <xdr:colOff>288782</xdr:colOff>
      <xdr:row>67</xdr:row>
      <xdr:rowOff>78849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80767D-9BDF-03B0-8CF3-38443A71A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798" y="7171228"/>
          <a:ext cx="11231542" cy="5839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19</xdr:col>
      <xdr:colOff>266847</xdr:colOff>
      <xdr:row>121</xdr:row>
      <xdr:rowOff>40821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16EFD97-51DC-8098-2E7C-6FE57E90B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2321" y="13511893"/>
          <a:ext cx="11288633" cy="9756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4C85-76E0-42F7-B2F7-B9E78D9C027A}">
  <dimension ref="B2:U69"/>
  <sheetViews>
    <sheetView topLeftCell="A78" zoomScale="115" zoomScaleNormal="115" workbookViewId="0">
      <selection activeCell="X22" sqref="X22"/>
    </sheetView>
  </sheetViews>
  <sheetFormatPr defaultRowHeight="15" x14ac:dyDescent="0.25"/>
  <sheetData>
    <row r="2" spans="2:13" ht="28.5" x14ac:dyDescent="0.45">
      <c r="B2" s="34" t="s">
        <v>37</v>
      </c>
      <c r="C2" s="34"/>
      <c r="D2" s="34"/>
      <c r="E2" s="34"/>
    </row>
    <row r="4" spans="2:13" x14ac:dyDescent="0.25">
      <c r="B4" s="35" t="s">
        <v>38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2:13" x14ac:dyDescent="0.25">
      <c r="B5" s="35" t="s">
        <v>39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2:13" x14ac:dyDescent="0.25">
      <c r="B6" s="36" t="s">
        <v>40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</row>
    <row r="34" spans="2:21" x14ac:dyDescent="0.25">
      <c r="B34" s="35" t="s">
        <v>41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 spans="2:21" x14ac:dyDescent="0.25">
      <c r="B35" s="35" t="s">
        <v>42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6"/>
      <c r="S35" s="36"/>
      <c r="T35" s="36"/>
      <c r="U35" s="36"/>
    </row>
    <row r="36" spans="2:21" x14ac:dyDescent="0.25">
      <c r="B36" s="35" t="s">
        <v>43</v>
      </c>
      <c r="C36" s="35"/>
      <c r="D36" s="35"/>
      <c r="E36" s="35"/>
      <c r="F36" s="35"/>
      <c r="G36" s="35"/>
      <c r="H36" s="35"/>
      <c r="I36" s="35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69" spans="2:14" x14ac:dyDescent="0.25">
      <c r="B69" s="35" t="s">
        <v>44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</row>
  </sheetData>
  <mergeCells count="6">
    <mergeCell ref="B36:I36"/>
    <mergeCell ref="B69:N69"/>
    <mergeCell ref="B4:M4"/>
    <mergeCell ref="B5:M5"/>
    <mergeCell ref="B35:Q35"/>
    <mergeCell ref="B34:U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"/>
  <sheetViews>
    <sheetView workbookViewId="0">
      <selection activeCell="A4" sqref="A4"/>
    </sheetView>
  </sheetViews>
  <sheetFormatPr defaultRowHeight="15" x14ac:dyDescent="0.25"/>
  <cols>
    <col min="1" max="1" width="30" customWidth="1"/>
    <col min="2" max="2" width="20" bestFit="1" customWidth="1"/>
    <col min="3" max="3" width="20" customWidth="1"/>
    <col min="4" max="5" width="25" customWidth="1"/>
    <col min="6" max="6" width="20" customWidth="1"/>
    <col min="7" max="7" width="25" customWidth="1"/>
    <col min="10" max="10" width="21.42578125" bestFit="1" customWidth="1"/>
    <col min="11" max="11" width="20" bestFit="1" customWidth="1"/>
    <col min="12" max="12" width="12.28515625" bestFit="1" customWidth="1"/>
    <col min="13" max="13" width="12.42578125" bestFit="1" customWidth="1"/>
    <col min="14" max="14" width="13.28515625" bestFit="1" customWidth="1"/>
    <col min="16" max="16" width="15.7109375" bestFit="1" customWidth="1"/>
  </cols>
  <sheetData>
    <row r="1" spans="1:25" ht="24.95" customHeight="1" x14ac:dyDescent="0.25">
      <c r="A1" s="12" t="s">
        <v>0</v>
      </c>
      <c r="B1" s="12"/>
      <c r="C1" s="11"/>
      <c r="D1" s="11"/>
      <c r="E1" s="11"/>
      <c r="F1" s="11"/>
      <c r="G1" s="11"/>
    </row>
    <row r="2" spans="1:25" ht="20.100000000000001" customHeight="1" x14ac:dyDescent="0.35">
      <c r="A2" s="10" t="s">
        <v>1</v>
      </c>
      <c r="B2" s="10"/>
      <c r="C2" s="11"/>
      <c r="D2" s="11"/>
      <c r="E2" s="11"/>
      <c r="F2" s="11"/>
      <c r="G2" s="11"/>
      <c r="J2" s="14" t="s">
        <v>28</v>
      </c>
      <c r="K2" s="14"/>
      <c r="L2" s="14"/>
      <c r="M2" s="14"/>
      <c r="N2" s="14"/>
      <c r="O2" s="14"/>
      <c r="P2" s="14"/>
    </row>
    <row r="3" spans="1:25" ht="35.1" customHeight="1" x14ac:dyDescent="0.25">
      <c r="A3" s="1" t="s">
        <v>2</v>
      </c>
      <c r="B3" s="1" t="s">
        <v>29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J3" s="1" t="s">
        <v>2</v>
      </c>
      <c r="K3" s="1" t="s">
        <v>29</v>
      </c>
      <c r="L3" s="1" t="s">
        <v>3</v>
      </c>
      <c r="M3" s="1" t="s">
        <v>4</v>
      </c>
      <c r="N3" s="1" t="s">
        <v>5</v>
      </c>
      <c r="O3" s="1" t="s">
        <v>6</v>
      </c>
      <c r="P3" s="1" t="s">
        <v>7</v>
      </c>
    </row>
    <row r="4" spans="1:25" x14ac:dyDescent="0.25">
      <c r="A4" s="2"/>
      <c r="B4" s="3"/>
      <c r="C4" s="3"/>
      <c r="D4" s="4"/>
      <c r="E4" s="4"/>
      <c r="F4" s="4">
        <f>D4*E4</f>
        <v>0</v>
      </c>
      <c r="G4" s="4"/>
      <c r="J4" s="22" t="s">
        <v>8</v>
      </c>
      <c r="K4" s="23">
        <v>1</v>
      </c>
      <c r="L4" s="23">
        <v>2.5</v>
      </c>
      <c r="M4" s="24"/>
      <c r="N4" s="24"/>
      <c r="O4" s="24">
        <v>70</v>
      </c>
      <c r="P4" s="24">
        <v>50</v>
      </c>
    </row>
    <row r="5" spans="1:25" x14ac:dyDescent="0.25">
      <c r="A5" s="2"/>
      <c r="B5" s="3"/>
      <c r="C5" s="3"/>
      <c r="D5" s="4"/>
      <c r="E5" s="4"/>
      <c r="F5" s="4">
        <f t="shared" ref="F5:F26" si="0">D5*E5</f>
        <v>0</v>
      </c>
      <c r="G5" s="4"/>
      <c r="J5" s="31" t="s">
        <v>9</v>
      </c>
      <c r="K5" s="32">
        <v>80</v>
      </c>
      <c r="L5" s="32">
        <v>0.5</v>
      </c>
      <c r="M5" s="33">
        <v>10</v>
      </c>
      <c r="N5" s="33">
        <v>50</v>
      </c>
      <c r="O5" s="33">
        <f>M5*N5</f>
        <v>500</v>
      </c>
      <c r="P5" s="33">
        <v>100</v>
      </c>
    </row>
    <row r="6" spans="1:25" x14ac:dyDescent="0.25">
      <c r="A6" s="2"/>
      <c r="B6" s="3"/>
      <c r="C6" s="3"/>
      <c r="D6" s="4"/>
      <c r="E6" s="4"/>
      <c r="F6" s="4">
        <f t="shared" si="0"/>
        <v>0</v>
      </c>
      <c r="G6" s="4"/>
      <c r="J6" s="22" t="s">
        <v>10</v>
      </c>
      <c r="K6" s="23">
        <v>0.5</v>
      </c>
      <c r="L6" s="23">
        <v>1</v>
      </c>
      <c r="M6" s="24"/>
      <c r="N6" s="24"/>
      <c r="O6" s="24">
        <v>70</v>
      </c>
      <c r="P6" s="24">
        <v>30</v>
      </c>
    </row>
    <row r="7" spans="1:25" x14ac:dyDescent="0.25">
      <c r="A7" s="2"/>
      <c r="B7" s="3"/>
      <c r="C7" s="3"/>
      <c r="D7" s="4"/>
      <c r="E7" s="4"/>
      <c r="F7" s="4">
        <f t="shared" si="0"/>
        <v>0</v>
      </c>
      <c r="G7" s="4"/>
    </row>
    <row r="8" spans="1:25" x14ac:dyDescent="0.25">
      <c r="A8" s="2"/>
      <c r="B8" s="3"/>
      <c r="C8" s="3"/>
      <c r="D8" s="4"/>
      <c r="E8" s="4"/>
      <c r="F8" s="4">
        <f t="shared" si="0"/>
        <v>0</v>
      </c>
      <c r="G8" s="4"/>
      <c r="J8" s="25" t="s">
        <v>34</v>
      </c>
      <c r="K8" s="25"/>
      <c r="L8" s="25"/>
      <c r="M8" s="25"/>
      <c r="N8" s="25"/>
      <c r="O8" s="25"/>
      <c r="P8" s="25"/>
      <c r="Q8" s="25"/>
      <c r="R8" s="25"/>
    </row>
    <row r="9" spans="1:25" x14ac:dyDescent="0.25">
      <c r="A9" s="2"/>
      <c r="B9" s="3"/>
      <c r="C9" s="3"/>
      <c r="D9" s="4"/>
      <c r="E9" s="4"/>
      <c r="F9" s="4">
        <f t="shared" si="0"/>
        <v>0</v>
      </c>
      <c r="G9" s="4"/>
      <c r="J9" s="21" t="s">
        <v>35</v>
      </c>
      <c r="K9" s="21"/>
      <c r="L9" s="21"/>
      <c r="M9" s="21"/>
      <c r="N9" s="21"/>
      <c r="O9" s="21"/>
      <c r="P9" s="21"/>
      <c r="Q9" s="21"/>
      <c r="R9" s="21"/>
      <c r="S9" s="21"/>
    </row>
    <row r="10" spans="1:25" x14ac:dyDescent="0.25">
      <c r="A10" s="2"/>
      <c r="B10" s="3"/>
      <c r="C10" s="3"/>
      <c r="D10" s="4"/>
      <c r="E10" s="4"/>
      <c r="F10" s="4">
        <f t="shared" si="0"/>
        <v>0</v>
      </c>
      <c r="G10" s="4"/>
      <c r="J10" s="30" t="s">
        <v>36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</row>
    <row r="11" spans="1:25" x14ac:dyDescent="0.25">
      <c r="A11" s="2"/>
      <c r="B11" s="3"/>
      <c r="C11" s="3"/>
      <c r="D11" s="4"/>
      <c r="E11" s="4"/>
      <c r="F11" s="4">
        <f t="shared" si="0"/>
        <v>0</v>
      </c>
      <c r="G11" s="4"/>
    </row>
    <row r="12" spans="1:25" x14ac:dyDescent="0.25">
      <c r="A12" s="2"/>
      <c r="B12" s="3"/>
      <c r="C12" s="3"/>
      <c r="D12" s="4"/>
      <c r="E12" s="4"/>
      <c r="F12" s="4">
        <f t="shared" si="0"/>
        <v>0</v>
      </c>
      <c r="G12" s="4"/>
    </row>
    <row r="13" spans="1:25" x14ac:dyDescent="0.25">
      <c r="A13" s="2"/>
      <c r="B13" s="3"/>
      <c r="C13" s="3"/>
      <c r="D13" s="4"/>
      <c r="E13" s="4"/>
      <c r="F13" s="4">
        <f t="shared" si="0"/>
        <v>0</v>
      </c>
      <c r="G13" s="4"/>
    </row>
    <row r="14" spans="1:25" x14ac:dyDescent="0.25">
      <c r="A14" s="2"/>
      <c r="B14" s="3"/>
      <c r="C14" s="3"/>
      <c r="D14" s="4"/>
      <c r="E14" s="4"/>
      <c r="F14" s="4">
        <f t="shared" si="0"/>
        <v>0</v>
      </c>
      <c r="G14" s="4"/>
    </row>
    <row r="15" spans="1:25" x14ac:dyDescent="0.25">
      <c r="A15" s="2"/>
      <c r="B15" s="3"/>
      <c r="C15" s="3"/>
      <c r="D15" s="4"/>
      <c r="E15" s="4"/>
      <c r="F15" s="4">
        <f t="shared" si="0"/>
        <v>0</v>
      </c>
      <c r="G15" s="4"/>
    </row>
    <row r="16" spans="1:25" x14ac:dyDescent="0.25">
      <c r="A16" s="2"/>
      <c r="B16" s="3"/>
      <c r="C16" s="3"/>
      <c r="D16" s="4"/>
      <c r="E16" s="4"/>
      <c r="F16" s="4">
        <f t="shared" si="0"/>
        <v>0</v>
      </c>
      <c r="G16" s="4"/>
    </row>
    <row r="17" spans="1:7" x14ac:dyDescent="0.25">
      <c r="A17" s="2"/>
      <c r="B17" s="3"/>
      <c r="C17" s="3"/>
      <c r="D17" s="4"/>
      <c r="E17" s="4"/>
      <c r="F17" s="4">
        <f t="shared" si="0"/>
        <v>0</v>
      </c>
      <c r="G17" s="4"/>
    </row>
    <row r="18" spans="1:7" x14ac:dyDescent="0.25">
      <c r="A18" s="2"/>
      <c r="B18" s="3"/>
      <c r="C18" s="3"/>
      <c r="D18" s="4"/>
      <c r="E18" s="4"/>
      <c r="F18" s="4">
        <f t="shared" si="0"/>
        <v>0</v>
      </c>
      <c r="G18" s="4"/>
    </row>
    <row r="19" spans="1:7" x14ac:dyDescent="0.25">
      <c r="A19" s="2"/>
      <c r="B19" s="3"/>
      <c r="C19" s="3"/>
      <c r="D19" s="4"/>
      <c r="E19" s="4"/>
      <c r="F19" s="4">
        <f t="shared" si="0"/>
        <v>0</v>
      </c>
      <c r="G19" s="4"/>
    </row>
    <row r="20" spans="1:7" x14ac:dyDescent="0.25">
      <c r="A20" s="2"/>
      <c r="B20" s="3"/>
      <c r="C20" s="3"/>
      <c r="D20" s="4"/>
      <c r="E20" s="4"/>
      <c r="F20" s="4">
        <f t="shared" si="0"/>
        <v>0</v>
      </c>
      <c r="G20" s="4"/>
    </row>
    <row r="21" spans="1:7" x14ac:dyDescent="0.25">
      <c r="A21" s="2"/>
      <c r="B21" s="3"/>
      <c r="C21" s="3"/>
      <c r="D21" s="4"/>
      <c r="E21" s="4"/>
      <c r="F21" s="4">
        <f t="shared" si="0"/>
        <v>0</v>
      </c>
      <c r="G21" s="4"/>
    </row>
    <row r="22" spans="1:7" x14ac:dyDescent="0.25">
      <c r="A22" s="2"/>
      <c r="B22" s="3"/>
      <c r="C22" s="3"/>
      <c r="D22" s="4"/>
      <c r="E22" s="4"/>
      <c r="F22" s="4">
        <f t="shared" si="0"/>
        <v>0</v>
      </c>
      <c r="G22" s="4"/>
    </row>
    <row r="23" spans="1:7" x14ac:dyDescent="0.25">
      <c r="A23" s="2"/>
      <c r="B23" s="3"/>
      <c r="C23" s="3"/>
      <c r="D23" s="4"/>
      <c r="E23" s="4"/>
      <c r="F23" s="4">
        <f t="shared" si="0"/>
        <v>0</v>
      </c>
      <c r="G23" s="4"/>
    </row>
    <row r="24" spans="1:7" x14ac:dyDescent="0.25">
      <c r="A24" s="2"/>
      <c r="B24" s="3"/>
      <c r="C24" s="3"/>
      <c r="D24" s="4"/>
      <c r="E24" s="4"/>
      <c r="F24" s="4">
        <f t="shared" si="0"/>
        <v>0</v>
      </c>
      <c r="G24" s="4"/>
    </row>
    <row r="25" spans="1:7" x14ac:dyDescent="0.25">
      <c r="A25" s="2"/>
      <c r="B25" s="3"/>
      <c r="C25" s="3"/>
      <c r="D25" s="4"/>
      <c r="E25" s="4"/>
      <c r="F25" s="4">
        <f t="shared" si="0"/>
        <v>0</v>
      </c>
      <c r="G25" s="4"/>
    </row>
    <row r="26" spans="1:7" x14ac:dyDescent="0.25">
      <c r="A26" s="2"/>
      <c r="B26" s="3"/>
      <c r="C26" s="3"/>
      <c r="D26" s="4"/>
      <c r="E26" s="4"/>
      <c r="F26" s="4">
        <f t="shared" si="0"/>
        <v>0</v>
      </c>
      <c r="G26" s="4"/>
    </row>
    <row r="28" spans="1:7" x14ac:dyDescent="0.25">
      <c r="A28" s="13" t="s">
        <v>11</v>
      </c>
      <c r="B28" s="13"/>
      <c r="C28" s="11"/>
      <c r="D28" s="11"/>
      <c r="E28" s="11"/>
      <c r="F28" s="11"/>
      <c r="G28" s="11"/>
    </row>
  </sheetData>
  <mergeCells count="7">
    <mergeCell ref="A2:G2"/>
    <mergeCell ref="A1:G1"/>
    <mergeCell ref="A28:G28"/>
    <mergeCell ref="J2:P2"/>
    <mergeCell ref="J8:R8"/>
    <mergeCell ref="J9:S9"/>
    <mergeCell ref="J10:Y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8"/>
  <sheetViews>
    <sheetView workbookViewId="0">
      <selection activeCell="A4" sqref="A4"/>
    </sheetView>
  </sheetViews>
  <sheetFormatPr defaultRowHeight="15" x14ac:dyDescent="0.25"/>
  <cols>
    <col min="1" max="1" width="16.85546875" bestFit="1" customWidth="1"/>
    <col min="2" max="2" width="20" customWidth="1"/>
    <col min="3" max="4" width="25" customWidth="1"/>
    <col min="5" max="5" width="20" customWidth="1"/>
    <col min="6" max="6" width="25" customWidth="1"/>
    <col min="7" max="7" width="15.7109375" bestFit="1" customWidth="1"/>
    <col min="9" max="9" width="21.42578125" bestFit="1" customWidth="1"/>
    <col min="10" max="10" width="12.28515625" bestFit="1" customWidth="1"/>
    <col min="11" max="11" width="12.42578125" bestFit="1" customWidth="1"/>
    <col min="12" max="12" width="13.28515625" bestFit="1" customWidth="1"/>
    <col min="14" max="15" width="15.7109375" bestFit="1" customWidth="1"/>
  </cols>
  <sheetData>
    <row r="1" spans="1:24" ht="24.95" customHeight="1" x14ac:dyDescent="0.25">
      <c r="A1" s="12" t="s">
        <v>12</v>
      </c>
      <c r="B1" s="12"/>
      <c r="C1" s="11"/>
      <c r="D1" s="11"/>
      <c r="E1" s="11"/>
      <c r="F1" s="11"/>
      <c r="G1" s="11"/>
    </row>
    <row r="2" spans="1:24" ht="20.100000000000001" customHeight="1" x14ac:dyDescent="0.35">
      <c r="A2" s="10" t="s">
        <v>1</v>
      </c>
      <c r="B2" s="10"/>
      <c r="C2" s="11"/>
      <c r="D2" s="11"/>
      <c r="E2" s="11"/>
      <c r="F2" s="11"/>
      <c r="G2" s="11"/>
      <c r="I2" s="14" t="s">
        <v>28</v>
      </c>
      <c r="J2" s="14"/>
      <c r="K2" s="14"/>
      <c r="L2" s="14"/>
      <c r="M2" s="14"/>
      <c r="N2" s="14"/>
    </row>
    <row r="3" spans="1:24" ht="35.1" customHeight="1" x14ac:dyDescent="0.25">
      <c r="A3" s="1" t="s">
        <v>2</v>
      </c>
      <c r="B3" s="1" t="s">
        <v>29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I3" s="1" t="s">
        <v>2</v>
      </c>
      <c r="J3" s="1" t="s">
        <v>29</v>
      </c>
      <c r="K3" s="1" t="s">
        <v>3</v>
      </c>
      <c r="L3" s="1" t="s">
        <v>4</v>
      </c>
      <c r="M3" s="1" t="s">
        <v>5</v>
      </c>
      <c r="N3" s="1" t="s">
        <v>6</v>
      </c>
      <c r="O3" s="1" t="s">
        <v>7</v>
      </c>
    </row>
    <row r="4" spans="1:24" x14ac:dyDescent="0.25">
      <c r="A4" s="2"/>
      <c r="B4" s="3"/>
      <c r="C4" s="3"/>
      <c r="D4" s="4"/>
      <c r="E4" s="4">
        <f>C4*D4</f>
        <v>0</v>
      </c>
      <c r="F4" s="4"/>
      <c r="G4" s="4"/>
      <c r="I4" s="22" t="s">
        <v>33</v>
      </c>
      <c r="J4" s="23">
        <v>1</v>
      </c>
      <c r="K4" s="23">
        <v>2.5</v>
      </c>
      <c r="L4" s="24"/>
      <c r="M4" s="24"/>
      <c r="N4" s="24">
        <v>50</v>
      </c>
      <c r="O4" s="24">
        <v>50</v>
      </c>
    </row>
    <row r="5" spans="1:24" x14ac:dyDescent="0.25">
      <c r="A5" s="2"/>
      <c r="B5" s="3"/>
      <c r="C5" s="3"/>
      <c r="D5" s="4"/>
      <c r="E5" s="4">
        <f t="shared" ref="E5:E26" si="0">C5*D5</f>
        <v>0</v>
      </c>
      <c r="F5" s="4"/>
      <c r="G5" s="4"/>
      <c r="I5" s="26" t="s">
        <v>32</v>
      </c>
      <c r="J5" s="27">
        <v>80</v>
      </c>
      <c r="K5" s="27">
        <v>0.5</v>
      </c>
      <c r="L5" s="28">
        <v>10</v>
      </c>
      <c r="M5" s="28">
        <v>50</v>
      </c>
      <c r="N5" s="28">
        <f>L5*M5</f>
        <v>500</v>
      </c>
      <c r="O5" s="28">
        <v>100</v>
      </c>
    </row>
    <row r="6" spans="1:24" x14ac:dyDescent="0.25">
      <c r="A6" s="2"/>
      <c r="B6" s="3"/>
      <c r="C6" s="3"/>
      <c r="D6" s="4"/>
      <c r="E6" s="4">
        <f t="shared" si="0"/>
        <v>0</v>
      </c>
      <c r="F6" s="4"/>
      <c r="G6" s="4"/>
      <c r="I6" s="22" t="s">
        <v>31</v>
      </c>
      <c r="J6" s="23">
        <v>0.5</v>
      </c>
      <c r="K6" s="23">
        <v>1</v>
      </c>
      <c r="L6" s="24"/>
      <c r="M6" s="24"/>
      <c r="N6" s="24">
        <v>20</v>
      </c>
      <c r="O6" s="24">
        <v>30</v>
      </c>
    </row>
    <row r="7" spans="1:24" x14ac:dyDescent="0.25">
      <c r="A7" s="2"/>
      <c r="B7" s="3"/>
      <c r="C7" s="3"/>
      <c r="D7" s="4"/>
      <c r="E7" s="4">
        <f t="shared" si="0"/>
        <v>0</v>
      </c>
      <c r="F7" s="4" t="str">
        <f t="shared" ref="F7:F26" si="1">IF(AND(D7&lt;&gt;"",E7&lt;&gt;""),D7*E7,"")</f>
        <v/>
      </c>
      <c r="G7" s="4"/>
      <c r="I7" s="26" t="s">
        <v>30</v>
      </c>
      <c r="J7" s="27">
        <v>90</v>
      </c>
      <c r="K7" s="27">
        <v>10</v>
      </c>
      <c r="L7" s="28">
        <v>10</v>
      </c>
      <c r="M7" s="28">
        <f t="shared" ref="M7" si="2">IF(AND(K7&lt;&gt;"",L7&lt;&gt;""),K7*L7,"")</f>
        <v>100</v>
      </c>
      <c r="N7" s="28">
        <v>1000</v>
      </c>
      <c r="O7" s="29">
        <v>10</v>
      </c>
    </row>
    <row r="8" spans="1:24" x14ac:dyDescent="0.25">
      <c r="A8" s="2"/>
      <c r="B8" s="3"/>
      <c r="C8" s="3"/>
      <c r="D8" s="4"/>
      <c r="E8" s="4">
        <f t="shared" si="0"/>
        <v>0</v>
      </c>
      <c r="F8" s="4" t="str">
        <f t="shared" si="1"/>
        <v/>
      </c>
      <c r="G8" s="4"/>
    </row>
    <row r="9" spans="1:24" x14ac:dyDescent="0.25">
      <c r="A9" s="2"/>
      <c r="B9" s="3"/>
      <c r="C9" s="3"/>
      <c r="D9" s="4"/>
      <c r="E9" s="4">
        <f t="shared" si="0"/>
        <v>0</v>
      </c>
      <c r="F9" s="4" t="str">
        <f t="shared" si="1"/>
        <v/>
      </c>
      <c r="G9" s="4"/>
      <c r="I9" s="25" t="s">
        <v>34</v>
      </c>
      <c r="J9" s="25"/>
      <c r="K9" s="25"/>
      <c r="L9" s="25"/>
      <c r="M9" s="25"/>
      <c r="N9" s="25"/>
      <c r="O9" s="25"/>
      <c r="P9" s="25"/>
      <c r="Q9" s="25"/>
    </row>
    <row r="10" spans="1:24" x14ac:dyDescent="0.25">
      <c r="A10" s="2"/>
      <c r="B10" s="3"/>
      <c r="C10" s="3"/>
      <c r="D10" s="4"/>
      <c r="E10" s="4">
        <f t="shared" si="0"/>
        <v>0</v>
      </c>
      <c r="F10" s="4" t="str">
        <f t="shared" si="1"/>
        <v/>
      </c>
      <c r="G10" s="4"/>
      <c r="I10" s="21" t="s">
        <v>35</v>
      </c>
      <c r="J10" s="21"/>
      <c r="K10" s="21"/>
      <c r="L10" s="21"/>
      <c r="M10" s="21"/>
      <c r="N10" s="21"/>
      <c r="O10" s="21"/>
      <c r="P10" s="21"/>
      <c r="Q10" s="21"/>
      <c r="R10" s="21"/>
    </row>
    <row r="11" spans="1:24" x14ac:dyDescent="0.25">
      <c r="A11" s="2"/>
      <c r="B11" s="3"/>
      <c r="C11" s="3"/>
      <c r="D11" s="4"/>
      <c r="E11" s="4">
        <f t="shared" si="0"/>
        <v>0</v>
      </c>
      <c r="F11" s="4" t="str">
        <f t="shared" si="1"/>
        <v/>
      </c>
      <c r="G11" s="4"/>
      <c r="I11" s="30" t="s">
        <v>36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</row>
    <row r="12" spans="1:24" x14ac:dyDescent="0.25">
      <c r="A12" s="2"/>
      <c r="B12" s="3"/>
      <c r="C12" s="3"/>
      <c r="D12" s="4"/>
      <c r="E12" s="4">
        <f t="shared" si="0"/>
        <v>0</v>
      </c>
      <c r="F12" s="4" t="str">
        <f t="shared" si="1"/>
        <v/>
      </c>
      <c r="G12" s="4"/>
    </row>
    <row r="13" spans="1:24" x14ac:dyDescent="0.25">
      <c r="A13" s="2"/>
      <c r="B13" s="3"/>
      <c r="C13" s="3"/>
      <c r="D13" s="4"/>
      <c r="E13" s="4">
        <f t="shared" si="0"/>
        <v>0</v>
      </c>
      <c r="F13" s="4" t="str">
        <f t="shared" si="1"/>
        <v/>
      </c>
      <c r="G13" s="4"/>
    </row>
    <row r="14" spans="1:24" x14ac:dyDescent="0.25">
      <c r="A14" s="2"/>
      <c r="B14" s="3"/>
      <c r="C14" s="3"/>
      <c r="D14" s="4"/>
      <c r="E14" s="4">
        <f t="shared" si="0"/>
        <v>0</v>
      </c>
      <c r="F14" s="4" t="str">
        <f t="shared" si="1"/>
        <v/>
      </c>
      <c r="G14" s="4"/>
    </row>
    <row r="15" spans="1:24" x14ac:dyDescent="0.25">
      <c r="A15" s="2"/>
      <c r="B15" s="3"/>
      <c r="C15" s="3"/>
      <c r="D15" s="4"/>
      <c r="E15" s="4">
        <f t="shared" si="0"/>
        <v>0</v>
      </c>
      <c r="F15" s="4" t="str">
        <f t="shared" si="1"/>
        <v/>
      </c>
      <c r="G15" s="4"/>
    </row>
    <row r="16" spans="1:24" x14ac:dyDescent="0.25">
      <c r="A16" s="2"/>
      <c r="B16" s="3"/>
      <c r="C16" s="3"/>
      <c r="D16" s="4"/>
      <c r="E16" s="4">
        <f t="shared" si="0"/>
        <v>0</v>
      </c>
      <c r="F16" s="4" t="str">
        <f t="shared" si="1"/>
        <v/>
      </c>
      <c r="G16" s="4"/>
    </row>
    <row r="17" spans="1:7" x14ac:dyDescent="0.25">
      <c r="A17" s="2"/>
      <c r="B17" s="3"/>
      <c r="C17" s="3"/>
      <c r="D17" s="4"/>
      <c r="E17" s="4">
        <f t="shared" si="0"/>
        <v>0</v>
      </c>
      <c r="F17" s="4" t="str">
        <f t="shared" si="1"/>
        <v/>
      </c>
      <c r="G17" s="4"/>
    </row>
    <row r="18" spans="1:7" x14ac:dyDescent="0.25">
      <c r="A18" s="2"/>
      <c r="B18" s="3"/>
      <c r="C18" s="3"/>
      <c r="D18" s="4"/>
      <c r="E18" s="4">
        <f t="shared" si="0"/>
        <v>0</v>
      </c>
      <c r="F18" s="4" t="str">
        <f t="shared" si="1"/>
        <v/>
      </c>
      <c r="G18" s="4"/>
    </row>
    <row r="19" spans="1:7" x14ac:dyDescent="0.25">
      <c r="A19" s="2"/>
      <c r="B19" s="3"/>
      <c r="C19" s="3"/>
      <c r="D19" s="4"/>
      <c r="E19" s="4">
        <f t="shared" si="0"/>
        <v>0</v>
      </c>
      <c r="F19" s="4" t="str">
        <f t="shared" si="1"/>
        <v/>
      </c>
      <c r="G19" s="4"/>
    </row>
    <row r="20" spans="1:7" x14ac:dyDescent="0.25">
      <c r="A20" s="2"/>
      <c r="B20" s="3"/>
      <c r="C20" s="3"/>
      <c r="D20" s="4"/>
      <c r="E20" s="4">
        <f t="shared" si="0"/>
        <v>0</v>
      </c>
      <c r="F20" s="4" t="str">
        <f t="shared" si="1"/>
        <v/>
      </c>
      <c r="G20" s="4"/>
    </row>
    <row r="21" spans="1:7" x14ac:dyDescent="0.25">
      <c r="A21" s="2"/>
      <c r="B21" s="3"/>
      <c r="C21" s="3"/>
      <c r="D21" s="4"/>
      <c r="E21" s="4">
        <f t="shared" si="0"/>
        <v>0</v>
      </c>
      <c r="F21" s="4" t="str">
        <f t="shared" si="1"/>
        <v/>
      </c>
      <c r="G21" s="4"/>
    </row>
    <row r="22" spans="1:7" x14ac:dyDescent="0.25">
      <c r="A22" s="2"/>
      <c r="B22" s="3"/>
      <c r="C22" s="3"/>
      <c r="D22" s="4"/>
      <c r="E22" s="4">
        <f t="shared" si="0"/>
        <v>0</v>
      </c>
      <c r="F22" s="4" t="str">
        <f t="shared" si="1"/>
        <v/>
      </c>
      <c r="G22" s="4"/>
    </row>
    <row r="23" spans="1:7" x14ac:dyDescent="0.25">
      <c r="A23" s="2"/>
      <c r="B23" s="3"/>
      <c r="C23" s="3"/>
      <c r="D23" s="4"/>
      <c r="E23" s="4">
        <f t="shared" si="0"/>
        <v>0</v>
      </c>
      <c r="F23" s="4" t="str">
        <f t="shared" si="1"/>
        <v/>
      </c>
      <c r="G23" s="4"/>
    </row>
    <row r="24" spans="1:7" x14ac:dyDescent="0.25">
      <c r="A24" s="2"/>
      <c r="B24" s="3"/>
      <c r="C24" s="3"/>
      <c r="D24" s="4"/>
      <c r="E24" s="4">
        <f t="shared" si="0"/>
        <v>0</v>
      </c>
      <c r="F24" s="4" t="str">
        <f t="shared" si="1"/>
        <v/>
      </c>
      <c r="G24" s="4"/>
    </row>
    <row r="25" spans="1:7" x14ac:dyDescent="0.25">
      <c r="A25" s="2"/>
      <c r="B25" s="3"/>
      <c r="C25" s="3"/>
      <c r="D25" s="4"/>
      <c r="E25" s="4">
        <f t="shared" si="0"/>
        <v>0</v>
      </c>
      <c r="F25" s="4" t="str">
        <f t="shared" si="1"/>
        <v/>
      </c>
      <c r="G25" s="4"/>
    </row>
    <row r="26" spans="1:7" x14ac:dyDescent="0.25">
      <c r="A26" s="2"/>
      <c r="B26" s="3"/>
      <c r="C26" s="3"/>
      <c r="D26" s="4"/>
      <c r="E26" s="4">
        <f t="shared" si="0"/>
        <v>0</v>
      </c>
      <c r="F26" s="4" t="str">
        <f t="shared" si="1"/>
        <v/>
      </c>
      <c r="G26" s="4"/>
    </row>
    <row r="28" spans="1:7" x14ac:dyDescent="0.25">
      <c r="A28" s="13" t="s">
        <v>11</v>
      </c>
      <c r="B28" s="11"/>
      <c r="C28" s="11"/>
      <c r="D28" s="11"/>
      <c r="E28" s="11"/>
      <c r="F28" s="11"/>
    </row>
  </sheetData>
  <mergeCells count="7">
    <mergeCell ref="A28:F28"/>
    <mergeCell ref="I2:N2"/>
    <mergeCell ref="A1:G1"/>
    <mergeCell ref="A2:G2"/>
    <mergeCell ref="I9:Q9"/>
    <mergeCell ref="I10:R10"/>
    <mergeCell ref="I11:X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8"/>
  <sheetViews>
    <sheetView workbookViewId="0">
      <selection activeCell="A4" sqref="A4"/>
    </sheetView>
  </sheetViews>
  <sheetFormatPr defaultRowHeight="15" x14ac:dyDescent="0.25"/>
  <cols>
    <col min="1" max="1" width="16.85546875" bestFit="1" customWidth="1"/>
    <col min="2" max="2" width="20" bestFit="1" customWidth="1"/>
    <col min="3" max="3" width="20" customWidth="1"/>
    <col min="4" max="5" width="25" customWidth="1"/>
    <col min="6" max="6" width="20" customWidth="1"/>
    <col min="7" max="7" width="25" customWidth="1"/>
    <col min="10" max="10" width="18.7109375" bestFit="1" customWidth="1"/>
    <col min="11" max="11" width="12.28515625" bestFit="1" customWidth="1"/>
    <col min="12" max="12" width="12.42578125" bestFit="1" customWidth="1"/>
    <col min="13" max="13" width="13.28515625" bestFit="1" customWidth="1"/>
    <col min="15" max="16" width="15.7109375" bestFit="1" customWidth="1"/>
  </cols>
  <sheetData>
    <row r="1" spans="1:25" ht="24.95" customHeight="1" x14ac:dyDescent="0.25">
      <c r="A1" s="12" t="s">
        <v>13</v>
      </c>
      <c r="B1" s="12"/>
      <c r="C1" s="11"/>
      <c r="D1" s="11"/>
      <c r="E1" s="11"/>
      <c r="F1" s="11"/>
      <c r="G1" s="11"/>
    </row>
    <row r="2" spans="1:25" ht="20.100000000000001" customHeight="1" x14ac:dyDescent="0.35">
      <c r="A2" s="10" t="s">
        <v>1</v>
      </c>
      <c r="B2" s="10"/>
      <c r="C2" s="11"/>
      <c r="D2" s="11"/>
      <c r="E2" s="11"/>
      <c r="F2" s="11"/>
      <c r="G2" s="11"/>
      <c r="J2" s="14" t="s">
        <v>28</v>
      </c>
      <c r="K2" s="14"/>
      <c r="L2" s="14"/>
      <c r="M2" s="14"/>
      <c r="N2" s="14"/>
      <c r="O2" s="14"/>
      <c r="P2" s="14"/>
    </row>
    <row r="3" spans="1:25" ht="35.1" customHeight="1" x14ac:dyDescent="0.25">
      <c r="A3" s="1" t="s">
        <v>2</v>
      </c>
      <c r="B3" s="1" t="s">
        <v>29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J3" s="1" t="s">
        <v>2</v>
      </c>
      <c r="K3" s="1" t="s">
        <v>29</v>
      </c>
      <c r="L3" s="1" t="s">
        <v>3</v>
      </c>
      <c r="M3" s="1" t="s">
        <v>4</v>
      </c>
      <c r="N3" s="1" t="s">
        <v>5</v>
      </c>
      <c r="O3" s="1" t="s">
        <v>6</v>
      </c>
      <c r="P3" s="1" t="s">
        <v>7</v>
      </c>
    </row>
    <row r="4" spans="1:25" x14ac:dyDescent="0.25">
      <c r="A4" s="2"/>
      <c r="B4" s="3"/>
      <c r="C4" s="3"/>
      <c r="D4" s="4"/>
      <c r="E4" s="4"/>
      <c r="F4" s="4">
        <f>D4*E4</f>
        <v>0</v>
      </c>
      <c r="G4" s="4"/>
      <c r="J4" s="26" t="s">
        <v>14</v>
      </c>
      <c r="K4" s="27">
        <v>80</v>
      </c>
      <c r="L4" s="27">
        <v>8</v>
      </c>
      <c r="M4" s="28">
        <v>6</v>
      </c>
      <c r="N4" s="28">
        <v>6</v>
      </c>
      <c r="O4" s="28">
        <v>36</v>
      </c>
      <c r="P4" s="28">
        <v>20</v>
      </c>
    </row>
    <row r="5" spans="1:25" x14ac:dyDescent="0.25">
      <c r="A5" s="2"/>
      <c r="B5" s="3"/>
      <c r="C5" s="3"/>
      <c r="D5" s="4"/>
      <c r="E5" s="4"/>
      <c r="F5" s="4">
        <f t="shared" ref="F5:F26" si="0">D5*E5</f>
        <v>0</v>
      </c>
      <c r="G5" s="4"/>
      <c r="J5" s="26" t="s">
        <v>15</v>
      </c>
      <c r="K5" s="27">
        <v>60</v>
      </c>
      <c r="L5" s="27">
        <v>2</v>
      </c>
      <c r="M5" s="28">
        <v>12</v>
      </c>
      <c r="N5" s="28">
        <v>12</v>
      </c>
      <c r="O5" s="28">
        <f>M5*N5</f>
        <v>144</v>
      </c>
      <c r="P5" s="28">
        <v>50</v>
      </c>
    </row>
    <row r="6" spans="1:25" x14ac:dyDescent="0.25">
      <c r="A6" s="2"/>
      <c r="B6" s="3"/>
      <c r="C6" s="3"/>
      <c r="D6" s="4"/>
      <c r="E6" s="4"/>
      <c r="F6" s="4">
        <f t="shared" si="0"/>
        <v>0</v>
      </c>
      <c r="G6" s="4"/>
      <c r="J6" s="22" t="s">
        <v>16</v>
      </c>
      <c r="K6" s="23">
        <v>0.5</v>
      </c>
      <c r="L6" s="23">
        <v>3.5</v>
      </c>
      <c r="M6" s="24"/>
      <c r="N6" s="24"/>
      <c r="O6" s="24">
        <v>60</v>
      </c>
      <c r="P6" s="24">
        <v>30</v>
      </c>
    </row>
    <row r="7" spans="1:25" x14ac:dyDescent="0.25">
      <c r="A7" s="2"/>
      <c r="B7" s="3"/>
      <c r="C7" s="3"/>
      <c r="D7" s="4"/>
      <c r="E7" s="4"/>
      <c r="F7" s="4">
        <f t="shared" si="0"/>
        <v>0</v>
      </c>
      <c r="G7" s="4"/>
      <c r="J7" s="22" t="s">
        <v>27</v>
      </c>
      <c r="K7" s="23">
        <v>5</v>
      </c>
      <c r="L7" s="23">
        <v>4</v>
      </c>
      <c r="M7" s="24"/>
      <c r="N7" s="24"/>
      <c r="O7" s="24">
        <v>70</v>
      </c>
      <c r="P7" s="24">
        <v>10</v>
      </c>
    </row>
    <row r="8" spans="1:25" x14ac:dyDescent="0.25">
      <c r="A8" s="2"/>
      <c r="B8" s="3"/>
      <c r="C8" s="3"/>
      <c r="D8" s="4"/>
      <c r="E8" s="4"/>
      <c r="F8" s="4">
        <f t="shared" si="0"/>
        <v>0</v>
      </c>
      <c r="G8" s="4"/>
    </row>
    <row r="9" spans="1:25" x14ac:dyDescent="0.25">
      <c r="A9" s="2"/>
      <c r="B9" s="3"/>
      <c r="C9" s="3"/>
      <c r="D9" s="4"/>
      <c r="E9" s="4"/>
      <c r="F9" s="4">
        <f t="shared" si="0"/>
        <v>0</v>
      </c>
      <c r="G9" s="4"/>
      <c r="J9" s="25" t="s">
        <v>34</v>
      </c>
      <c r="K9" s="25"/>
      <c r="L9" s="25"/>
      <c r="M9" s="25"/>
      <c r="N9" s="25"/>
      <c r="O9" s="25"/>
      <c r="P9" s="25"/>
      <c r="Q9" s="25"/>
      <c r="R9" s="25"/>
    </row>
    <row r="10" spans="1:25" x14ac:dyDescent="0.25">
      <c r="A10" s="2"/>
      <c r="B10" s="3"/>
      <c r="C10" s="3"/>
      <c r="D10" s="4"/>
      <c r="E10" s="4"/>
      <c r="F10" s="4">
        <f t="shared" si="0"/>
        <v>0</v>
      </c>
      <c r="G10" s="4"/>
      <c r="J10" s="21" t="s">
        <v>35</v>
      </c>
      <c r="K10" s="21"/>
      <c r="L10" s="21"/>
      <c r="M10" s="21"/>
      <c r="N10" s="21"/>
      <c r="O10" s="21"/>
      <c r="P10" s="21"/>
      <c r="Q10" s="21"/>
      <c r="R10" s="21"/>
      <c r="S10" s="21"/>
    </row>
    <row r="11" spans="1:25" x14ac:dyDescent="0.25">
      <c r="A11" s="2"/>
      <c r="B11" s="3"/>
      <c r="C11" s="3"/>
      <c r="D11" s="4"/>
      <c r="E11" s="4"/>
      <c r="F11" s="4">
        <f t="shared" si="0"/>
        <v>0</v>
      </c>
      <c r="G11" s="4"/>
      <c r="J11" s="30" t="s">
        <v>36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 spans="1:25" x14ac:dyDescent="0.25">
      <c r="A12" s="2"/>
      <c r="B12" s="3"/>
      <c r="C12" s="3"/>
      <c r="D12" s="4"/>
      <c r="E12" s="4"/>
      <c r="F12" s="4">
        <f t="shared" si="0"/>
        <v>0</v>
      </c>
      <c r="G12" s="4"/>
    </row>
    <row r="13" spans="1:25" x14ac:dyDescent="0.25">
      <c r="A13" s="2"/>
      <c r="B13" s="3"/>
      <c r="C13" s="3"/>
      <c r="D13" s="4"/>
      <c r="E13" s="4"/>
      <c r="F13" s="4">
        <f t="shared" si="0"/>
        <v>0</v>
      </c>
      <c r="G13" s="4"/>
    </row>
    <row r="14" spans="1:25" x14ac:dyDescent="0.25">
      <c r="A14" s="2"/>
      <c r="B14" s="3"/>
      <c r="C14" s="3"/>
      <c r="D14" s="4"/>
      <c r="E14" s="4"/>
      <c r="F14" s="4">
        <f t="shared" si="0"/>
        <v>0</v>
      </c>
      <c r="G14" s="4"/>
    </row>
    <row r="15" spans="1:25" x14ac:dyDescent="0.25">
      <c r="A15" s="2"/>
      <c r="B15" s="3"/>
      <c r="C15" s="3"/>
      <c r="D15" s="4"/>
      <c r="E15" s="4"/>
      <c r="F15" s="4">
        <f t="shared" si="0"/>
        <v>0</v>
      </c>
      <c r="G15" s="4"/>
    </row>
    <row r="16" spans="1:25" x14ac:dyDescent="0.25">
      <c r="A16" s="2"/>
      <c r="B16" s="3"/>
      <c r="C16" s="3"/>
      <c r="D16" s="4"/>
      <c r="E16" s="4"/>
      <c r="F16" s="4">
        <f t="shared" si="0"/>
        <v>0</v>
      </c>
      <c r="G16" s="4"/>
    </row>
    <row r="17" spans="1:7" x14ac:dyDescent="0.25">
      <c r="A17" s="2"/>
      <c r="B17" s="3"/>
      <c r="C17" s="3"/>
      <c r="D17" s="4"/>
      <c r="E17" s="4"/>
      <c r="F17" s="4">
        <f t="shared" si="0"/>
        <v>0</v>
      </c>
      <c r="G17" s="4"/>
    </row>
    <row r="18" spans="1:7" x14ac:dyDescent="0.25">
      <c r="A18" s="2"/>
      <c r="B18" s="3"/>
      <c r="C18" s="3"/>
      <c r="D18" s="4"/>
      <c r="E18" s="4"/>
      <c r="F18" s="4">
        <f t="shared" si="0"/>
        <v>0</v>
      </c>
      <c r="G18" s="4"/>
    </row>
    <row r="19" spans="1:7" x14ac:dyDescent="0.25">
      <c r="A19" s="2"/>
      <c r="B19" s="3"/>
      <c r="C19" s="3"/>
      <c r="D19" s="4"/>
      <c r="E19" s="4"/>
      <c r="F19" s="4">
        <f t="shared" si="0"/>
        <v>0</v>
      </c>
      <c r="G19" s="4"/>
    </row>
    <row r="20" spans="1:7" x14ac:dyDescent="0.25">
      <c r="A20" s="2"/>
      <c r="B20" s="3"/>
      <c r="C20" s="3"/>
      <c r="D20" s="4"/>
      <c r="E20" s="4"/>
      <c r="F20" s="4">
        <f t="shared" si="0"/>
        <v>0</v>
      </c>
      <c r="G20" s="4"/>
    </row>
    <row r="21" spans="1:7" x14ac:dyDescent="0.25">
      <c r="A21" s="2"/>
      <c r="B21" s="3"/>
      <c r="C21" s="3"/>
      <c r="D21" s="4"/>
      <c r="E21" s="4"/>
      <c r="F21" s="4">
        <f t="shared" si="0"/>
        <v>0</v>
      </c>
      <c r="G21" s="4"/>
    </row>
    <row r="22" spans="1:7" x14ac:dyDescent="0.25">
      <c r="A22" s="2"/>
      <c r="B22" s="3"/>
      <c r="C22" s="3"/>
      <c r="D22" s="4"/>
      <c r="E22" s="4"/>
      <c r="F22" s="4">
        <f t="shared" si="0"/>
        <v>0</v>
      </c>
      <c r="G22" s="4"/>
    </row>
    <row r="23" spans="1:7" x14ac:dyDescent="0.25">
      <c r="A23" s="2"/>
      <c r="B23" s="3"/>
      <c r="C23" s="3"/>
      <c r="D23" s="4"/>
      <c r="E23" s="4"/>
      <c r="F23" s="4">
        <f t="shared" si="0"/>
        <v>0</v>
      </c>
      <c r="G23" s="4"/>
    </row>
    <row r="24" spans="1:7" x14ac:dyDescent="0.25">
      <c r="A24" s="2"/>
      <c r="B24" s="3"/>
      <c r="C24" s="3"/>
      <c r="D24" s="4"/>
      <c r="E24" s="4"/>
      <c r="F24" s="4">
        <f t="shared" si="0"/>
        <v>0</v>
      </c>
      <c r="G24" s="4"/>
    </row>
    <row r="25" spans="1:7" x14ac:dyDescent="0.25">
      <c r="A25" s="2"/>
      <c r="B25" s="3"/>
      <c r="C25" s="3"/>
      <c r="D25" s="4"/>
      <c r="E25" s="4"/>
      <c r="F25" s="4">
        <f t="shared" si="0"/>
        <v>0</v>
      </c>
      <c r="G25" s="4"/>
    </row>
    <row r="26" spans="1:7" x14ac:dyDescent="0.25">
      <c r="A26" s="2"/>
      <c r="B26" s="3"/>
      <c r="C26" s="3"/>
      <c r="D26" s="4"/>
      <c r="E26" s="4"/>
      <c r="F26" s="4">
        <f t="shared" si="0"/>
        <v>0</v>
      </c>
      <c r="G26" s="4"/>
    </row>
    <row r="27" spans="1:7" x14ac:dyDescent="0.25">
      <c r="B27" s="8"/>
      <c r="C27" s="8"/>
    </row>
    <row r="28" spans="1:7" x14ac:dyDescent="0.25">
      <c r="A28" s="13" t="s">
        <v>11</v>
      </c>
      <c r="B28" s="13"/>
      <c r="C28" s="11"/>
      <c r="D28" s="11"/>
      <c r="E28" s="11"/>
      <c r="F28" s="11"/>
      <c r="G28" s="11"/>
    </row>
  </sheetData>
  <mergeCells count="7">
    <mergeCell ref="A2:G2"/>
    <mergeCell ref="A1:G1"/>
    <mergeCell ref="A28:G28"/>
    <mergeCell ref="J2:P2"/>
    <mergeCell ref="J9:R9"/>
    <mergeCell ref="J10:S10"/>
    <mergeCell ref="J11:Y11"/>
  </mergeCell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0"/>
  <sheetViews>
    <sheetView tabSelected="1" workbookViewId="0">
      <selection activeCell="G4" sqref="G4"/>
    </sheetView>
  </sheetViews>
  <sheetFormatPr defaultRowHeight="15" x14ac:dyDescent="0.25"/>
  <cols>
    <col min="1" max="1" width="15" customWidth="1"/>
    <col min="2" max="3" width="30" customWidth="1"/>
    <col min="4" max="4" width="20" customWidth="1"/>
    <col min="5" max="6" width="15" customWidth="1"/>
    <col min="7" max="8" width="18" customWidth="1"/>
  </cols>
  <sheetData>
    <row r="1" spans="1:8" ht="24.95" customHeight="1" x14ac:dyDescent="0.25">
      <c r="A1" s="15" t="s">
        <v>17</v>
      </c>
      <c r="B1" s="11"/>
      <c r="C1" s="11"/>
      <c r="D1" s="11"/>
      <c r="E1" s="11"/>
      <c r="F1" s="11"/>
      <c r="G1" s="11"/>
      <c r="H1" s="11"/>
    </row>
    <row r="2" spans="1:8" ht="30" customHeight="1" x14ac:dyDescent="0.25">
      <c r="A2" s="18" t="s">
        <v>18</v>
      </c>
      <c r="B2" s="11"/>
      <c r="C2" s="11"/>
      <c r="D2" s="11"/>
      <c r="E2" s="11"/>
      <c r="F2" s="11"/>
      <c r="G2" s="11"/>
      <c r="H2" s="11"/>
    </row>
    <row r="3" spans="1:8" ht="35.1" customHeight="1" x14ac:dyDescent="0.25">
      <c r="A3" s="5" t="s">
        <v>19</v>
      </c>
      <c r="B3" s="5" t="s">
        <v>2</v>
      </c>
      <c r="C3" s="5" t="s">
        <v>29</v>
      </c>
      <c r="D3" s="5" t="s">
        <v>3</v>
      </c>
      <c r="E3" s="5" t="s">
        <v>20</v>
      </c>
      <c r="F3" s="5" t="s">
        <v>21</v>
      </c>
      <c r="G3" s="5" t="s">
        <v>6</v>
      </c>
      <c r="H3" s="5" t="s">
        <v>22</v>
      </c>
    </row>
    <row r="4" spans="1:8" x14ac:dyDescent="0.25">
      <c r="A4" s="6" t="str">
        <f>IF(Doces!A4="","","Doces")</f>
        <v/>
      </c>
      <c r="B4" s="2" t="str">
        <f>IF(Doces!A4="","",Doces!A4)</f>
        <v/>
      </c>
      <c r="C4" s="2" t="str">
        <f>IF(Doces!A4="","",Doces!B4)</f>
        <v/>
      </c>
      <c r="D4" s="3" t="str">
        <f>IF(Doces!A4="","",Doces!C4)</f>
        <v/>
      </c>
      <c r="E4" s="4" t="str">
        <f>IF(Doces!A4="","",Doces!D4)</f>
        <v/>
      </c>
      <c r="F4" s="4" t="str">
        <f>IF(Doces!A4="","",Doces!E4)</f>
        <v/>
      </c>
      <c r="G4" s="4" t="str">
        <f>IF(Doces!A4="","",Doces!F4)</f>
        <v/>
      </c>
      <c r="H4" s="4" t="str">
        <f>IF(Doces!A4="","",Doces!G4)</f>
        <v/>
      </c>
    </row>
    <row r="5" spans="1:8" x14ac:dyDescent="0.25">
      <c r="A5" s="6" t="str">
        <f>IF(Doces!A5="","","Doces")</f>
        <v/>
      </c>
      <c r="B5" s="2" t="str">
        <f>IF(Doces!A5="","",Doces!A5)</f>
        <v/>
      </c>
      <c r="C5" s="2" t="str">
        <f>IF(Doces!A5="","",Doces!B5)</f>
        <v/>
      </c>
      <c r="D5" s="3" t="str">
        <f>IF(Doces!A5="","",Doces!C5)</f>
        <v/>
      </c>
      <c r="E5" s="4" t="str">
        <f>IF(Doces!A5="","",Doces!D5)</f>
        <v/>
      </c>
      <c r="F5" s="4" t="str">
        <f>IF(Doces!A5="","",Doces!E5)</f>
        <v/>
      </c>
      <c r="G5" s="4" t="str">
        <f>IF(Doces!A5="","",Doces!F5)</f>
        <v/>
      </c>
      <c r="H5" s="4" t="str">
        <f>IF(Doces!A5="","",Doces!G5)</f>
        <v/>
      </c>
    </row>
    <row r="6" spans="1:8" x14ac:dyDescent="0.25">
      <c r="A6" s="6" t="str">
        <f>IF(Doces!A6="","","Doces")</f>
        <v/>
      </c>
      <c r="B6" s="2" t="str">
        <f>IF(Doces!A6="","",Doces!A6)</f>
        <v/>
      </c>
      <c r="C6" s="2" t="str">
        <f>IF(Doces!A6="","",Doces!B6)</f>
        <v/>
      </c>
      <c r="D6" s="3" t="str">
        <f>IF(Doces!A6="","",Doces!C6)</f>
        <v/>
      </c>
      <c r="E6" s="4" t="str">
        <f>IF(Doces!A6="","",Doces!D6)</f>
        <v/>
      </c>
      <c r="F6" s="4" t="str">
        <f>IF(Doces!A6="","",Doces!E6)</f>
        <v/>
      </c>
      <c r="G6" s="4" t="str">
        <f>IF(Doces!A6="","",Doces!F6)</f>
        <v/>
      </c>
      <c r="H6" s="4" t="str">
        <f>IF(Doces!A6="","",Doces!G6)</f>
        <v/>
      </c>
    </row>
    <row r="7" spans="1:8" x14ac:dyDescent="0.25">
      <c r="A7" s="6" t="str">
        <f>IF(Doces!A7="","","Doces")</f>
        <v/>
      </c>
      <c r="B7" s="2" t="str">
        <f>IF(Doces!A7="","",Doces!A7)</f>
        <v/>
      </c>
      <c r="C7" s="2" t="str">
        <f>IF(Doces!A7="","",Doces!B7)</f>
        <v/>
      </c>
      <c r="D7" s="3" t="str">
        <f>IF(Doces!A7="","",Doces!C7)</f>
        <v/>
      </c>
      <c r="E7" s="4" t="str">
        <f>IF(Doces!A7="","",Doces!D7)</f>
        <v/>
      </c>
      <c r="F7" s="4" t="str">
        <f>IF(Doces!A7="","",Doces!E7)</f>
        <v/>
      </c>
      <c r="G7" s="4" t="str">
        <f>IF(Doces!A7="","",Doces!F7)</f>
        <v/>
      </c>
      <c r="H7" s="4" t="str">
        <f>IF(Doces!A7="","",Doces!G7)</f>
        <v/>
      </c>
    </row>
    <row r="8" spans="1:8" x14ac:dyDescent="0.25">
      <c r="A8" s="6" t="str">
        <f>IF(Doces!A8="","","Doces")</f>
        <v/>
      </c>
      <c r="B8" s="2" t="str">
        <f>IF(Doces!A8="","",Doces!A8)</f>
        <v/>
      </c>
      <c r="C8" s="2" t="str">
        <f>IF(Doces!A8="","",Doces!B8)</f>
        <v/>
      </c>
      <c r="D8" s="3" t="str">
        <f>IF(Doces!A8="","",Doces!C8)</f>
        <v/>
      </c>
      <c r="E8" s="4" t="str">
        <f>IF(Doces!A8="","",Doces!D8)</f>
        <v/>
      </c>
      <c r="F8" s="4" t="str">
        <f>IF(Doces!A8="","",Doces!E8)</f>
        <v/>
      </c>
      <c r="G8" s="4" t="str">
        <f>IF(Doces!A8="","",Doces!F8)</f>
        <v/>
      </c>
      <c r="H8" s="4" t="str">
        <f>IF(Doces!A8="","",Doces!G8)</f>
        <v/>
      </c>
    </row>
    <row r="9" spans="1:8" x14ac:dyDescent="0.25">
      <c r="A9" s="6" t="str">
        <f>IF(Doces!A9="","","Doces")</f>
        <v/>
      </c>
      <c r="B9" s="2" t="str">
        <f>IF(Doces!A9="","",Doces!A9)</f>
        <v/>
      </c>
      <c r="C9" s="2" t="str">
        <f>IF(Doces!A9="","",Doces!B9)</f>
        <v/>
      </c>
      <c r="D9" s="3" t="str">
        <f>IF(Doces!A9="","",Doces!C9)</f>
        <v/>
      </c>
      <c r="E9" s="4" t="str">
        <f>IF(Doces!A9="","",Doces!D9)</f>
        <v/>
      </c>
      <c r="F9" s="4" t="str">
        <f>IF(Doces!A9="","",Doces!E9)</f>
        <v/>
      </c>
      <c r="G9" s="4" t="str">
        <f>IF(Doces!A9="","",Doces!F9)</f>
        <v/>
      </c>
      <c r="H9" s="4" t="str">
        <f>IF(Doces!A9="","",Doces!G9)</f>
        <v/>
      </c>
    </row>
    <row r="10" spans="1:8" x14ac:dyDescent="0.25">
      <c r="A10" s="6" t="str">
        <f>IF(Doces!A10="","","Doces")</f>
        <v/>
      </c>
      <c r="B10" s="2" t="str">
        <f>IF(Doces!A10="","",Doces!A10)</f>
        <v/>
      </c>
      <c r="C10" s="2" t="str">
        <f>IF(Doces!A10="","",Doces!B10)</f>
        <v/>
      </c>
      <c r="D10" s="3" t="str">
        <f>IF(Doces!A10="","",Doces!C10)</f>
        <v/>
      </c>
      <c r="E10" s="4" t="str">
        <f>IF(Doces!A10="","",Doces!D10)</f>
        <v/>
      </c>
      <c r="F10" s="4" t="str">
        <f>IF(Doces!A10="","",Doces!E10)</f>
        <v/>
      </c>
      <c r="G10" s="4" t="str">
        <f>IF(Doces!A10="","",Doces!F10)</f>
        <v/>
      </c>
      <c r="H10" s="4" t="str">
        <f>IF(Doces!A10="","",Doces!G10)</f>
        <v/>
      </c>
    </row>
    <row r="11" spans="1:8" x14ac:dyDescent="0.25">
      <c r="A11" s="6" t="str">
        <f>IF(Doces!A11="","","Doces")</f>
        <v/>
      </c>
      <c r="B11" s="2" t="str">
        <f>IF(Doces!A11="","",Doces!A11)</f>
        <v/>
      </c>
      <c r="C11" s="2" t="str">
        <f>IF(Doces!A11="","",Doces!B11)</f>
        <v/>
      </c>
      <c r="D11" s="3" t="str">
        <f>IF(Doces!A11="","",Doces!C11)</f>
        <v/>
      </c>
      <c r="E11" s="4" t="str">
        <f>IF(Doces!A11="","",Doces!D11)</f>
        <v/>
      </c>
      <c r="F11" s="4" t="str">
        <f>IF(Doces!A11="","",Doces!E11)</f>
        <v/>
      </c>
      <c r="G11" s="4" t="str">
        <f>IF(Doces!A11="","",Doces!F11)</f>
        <v/>
      </c>
      <c r="H11" s="4" t="str">
        <f>IF(Doces!A11="","",Doces!G11)</f>
        <v/>
      </c>
    </row>
    <row r="12" spans="1:8" x14ac:dyDescent="0.25">
      <c r="A12" s="6" t="str">
        <f>IF(Doces!A12="","","Doces")</f>
        <v/>
      </c>
      <c r="B12" s="2" t="str">
        <f>IF(Doces!A12="","",Doces!A12)</f>
        <v/>
      </c>
      <c r="C12" s="2" t="str">
        <f>IF(Doces!A12="","",Doces!B12)</f>
        <v/>
      </c>
      <c r="D12" s="3" t="str">
        <f>IF(Doces!A12="","",Doces!C12)</f>
        <v/>
      </c>
      <c r="E12" s="4" t="str">
        <f>IF(Doces!A12="","",Doces!D12)</f>
        <v/>
      </c>
      <c r="F12" s="4" t="str">
        <f>IF(Doces!A12="","",Doces!E12)</f>
        <v/>
      </c>
      <c r="G12" s="4" t="str">
        <f>IF(Doces!A12="","",Doces!F12)</f>
        <v/>
      </c>
      <c r="H12" s="4" t="str">
        <f>IF(Doces!A12="","",Doces!G12)</f>
        <v/>
      </c>
    </row>
    <row r="13" spans="1:8" x14ac:dyDescent="0.25">
      <c r="A13" s="6" t="str">
        <f>IF(Doces!A13="","","Doces")</f>
        <v/>
      </c>
      <c r="B13" s="2" t="str">
        <f>IF(Doces!A13="","",Doces!A13)</f>
        <v/>
      </c>
      <c r="C13" s="2" t="str">
        <f>IF(Doces!A13="","",Doces!B13)</f>
        <v/>
      </c>
      <c r="D13" s="3" t="str">
        <f>IF(Doces!A13="","",Doces!C13)</f>
        <v/>
      </c>
      <c r="E13" s="4" t="str">
        <f>IF(Doces!A13="","",Doces!D13)</f>
        <v/>
      </c>
      <c r="F13" s="4" t="str">
        <f>IF(Doces!A13="","",Doces!E13)</f>
        <v/>
      </c>
      <c r="G13" s="4" t="str">
        <f>IF(Doces!A13="","",Doces!F13)</f>
        <v/>
      </c>
      <c r="H13" s="4" t="str">
        <f>IF(Doces!A13="","",Doces!G13)</f>
        <v/>
      </c>
    </row>
    <row r="14" spans="1:8" x14ac:dyDescent="0.25">
      <c r="A14" s="6" t="str">
        <f>IF(Doces!A14="","","Doces")</f>
        <v/>
      </c>
      <c r="B14" s="2" t="str">
        <f>IF(Doces!A14="","",Doces!A14)</f>
        <v/>
      </c>
      <c r="C14" s="2" t="str">
        <f>IF(Doces!A14="","",Doces!B14)</f>
        <v/>
      </c>
      <c r="D14" s="3" t="str">
        <f>IF(Doces!A14="","",Doces!C14)</f>
        <v/>
      </c>
      <c r="E14" s="4" t="str">
        <f>IF(Doces!A14="","",Doces!D14)</f>
        <v/>
      </c>
      <c r="F14" s="4" t="str">
        <f>IF(Doces!A14="","",Doces!E14)</f>
        <v/>
      </c>
      <c r="G14" s="4" t="str">
        <f>IF(Doces!A14="","",Doces!F14)</f>
        <v/>
      </c>
      <c r="H14" s="4" t="str">
        <f>IF(Doces!A14="","",Doces!G14)</f>
        <v/>
      </c>
    </row>
    <row r="15" spans="1:8" x14ac:dyDescent="0.25">
      <c r="A15" s="6" t="str">
        <f>IF(Doces!A15="","","Doces")</f>
        <v/>
      </c>
      <c r="B15" s="2" t="str">
        <f>IF(Doces!A15="","",Doces!A15)</f>
        <v/>
      </c>
      <c r="C15" s="2" t="str">
        <f>IF(Doces!A15="","",Doces!B15)</f>
        <v/>
      </c>
      <c r="D15" s="3" t="str">
        <f>IF(Doces!A15="","",Doces!C15)</f>
        <v/>
      </c>
      <c r="E15" s="4" t="str">
        <f>IF(Doces!A15="","",Doces!D15)</f>
        <v/>
      </c>
      <c r="F15" s="4" t="str">
        <f>IF(Doces!A15="","",Doces!E15)</f>
        <v/>
      </c>
      <c r="G15" s="4" t="str">
        <f>IF(Doces!A15="","",Doces!F15)</f>
        <v/>
      </c>
      <c r="H15" s="4" t="str">
        <f>IF(Doces!A15="","",Doces!G15)</f>
        <v/>
      </c>
    </row>
    <row r="16" spans="1:8" x14ac:dyDescent="0.25">
      <c r="A16" s="6" t="str">
        <f>IF(Doces!A16="","","Doces")</f>
        <v/>
      </c>
      <c r="B16" s="2" t="str">
        <f>IF(Doces!A16="","",Doces!A16)</f>
        <v/>
      </c>
      <c r="C16" s="2" t="str">
        <f>IF(Doces!A16="","",Doces!B16)</f>
        <v/>
      </c>
      <c r="D16" s="3" t="str">
        <f>IF(Doces!A16="","",Doces!C16)</f>
        <v/>
      </c>
      <c r="E16" s="4" t="str">
        <f>IF(Doces!A16="","",Doces!D16)</f>
        <v/>
      </c>
      <c r="F16" s="4" t="str">
        <f>IF(Doces!A16="","",Doces!E16)</f>
        <v/>
      </c>
      <c r="G16" s="4" t="str">
        <f>IF(Doces!A16="","",Doces!F16)</f>
        <v/>
      </c>
      <c r="H16" s="4" t="str">
        <f>IF(Doces!A16="","",Doces!G16)</f>
        <v/>
      </c>
    </row>
    <row r="17" spans="1:8" x14ac:dyDescent="0.25">
      <c r="A17" s="6" t="str">
        <f>IF(Doces!A17="","","Doces")</f>
        <v/>
      </c>
      <c r="B17" s="2" t="str">
        <f>IF(Doces!A17="","",Doces!A17)</f>
        <v/>
      </c>
      <c r="C17" s="2" t="str">
        <f>IF(Doces!A17="","",Doces!B17)</f>
        <v/>
      </c>
      <c r="D17" s="3" t="str">
        <f>IF(Doces!A17="","",Doces!C17)</f>
        <v/>
      </c>
      <c r="E17" s="4" t="str">
        <f>IF(Doces!A17="","",Doces!D17)</f>
        <v/>
      </c>
      <c r="F17" s="4" t="str">
        <f>IF(Doces!A17="","",Doces!E17)</f>
        <v/>
      </c>
      <c r="G17" s="4" t="str">
        <f>IF(Doces!A17="","",Doces!F17)</f>
        <v/>
      </c>
      <c r="H17" s="4" t="str">
        <f>IF(Doces!A17="","",Doces!G17)</f>
        <v/>
      </c>
    </row>
    <row r="18" spans="1:8" x14ac:dyDescent="0.25">
      <c r="A18" s="6" t="str">
        <f>IF(Doces!A18="","","Doces")</f>
        <v/>
      </c>
      <c r="B18" s="2" t="str">
        <f>IF(Doces!A18="","",Doces!A18)</f>
        <v/>
      </c>
      <c r="C18" s="2" t="str">
        <f>IF(Doces!A18="","",Doces!B18)</f>
        <v/>
      </c>
      <c r="D18" s="3" t="str">
        <f>IF(Doces!A18="","",Doces!C18)</f>
        <v/>
      </c>
      <c r="E18" s="4" t="str">
        <f>IF(Doces!A18="","",Doces!D18)</f>
        <v/>
      </c>
      <c r="F18" s="4" t="str">
        <f>IF(Doces!A18="","",Doces!E18)</f>
        <v/>
      </c>
      <c r="G18" s="4" t="str">
        <f>IF(Doces!A18="","",Doces!F18)</f>
        <v/>
      </c>
      <c r="H18" s="4" t="str">
        <f>IF(Doces!A18="","",Doces!G18)</f>
        <v/>
      </c>
    </row>
    <row r="19" spans="1:8" x14ac:dyDescent="0.25">
      <c r="A19" s="6" t="str">
        <f>IF(Doces!A19="","","Doces")</f>
        <v/>
      </c>
      <c r="B19" s="2" t="str">
        <f>IF(Doces!A19="","",Doces!A19)</f>
        <v/>
      </c>
      <c r="C19" s="2" t="str">
        <f>IF(Doces!A19="","",Doces!B19)</f>
        <v/>
      </c>
      <c r="D19" s="3" t="str">
        <f>IF(Doces!A19="","",Doces!C19)</f>
        <v/>
      </c>
      <c r="E19" s="4" t="str">
        <f>IF(Doces!A19="","",Doces!D19)</f>
        <v/>
      </c>
      <c r="F19" s="4" t="str">
        <f>IF(Doces!A19="","",Doces!E19)</f>
        <v/>
      </c>
      <c r="G19" s="4" t="str">
        <f>IF(Doces!A19="","",Doces!F19)</f>
        <v/>
      </c>
      <c r="H19" s="4" t="str">
        <f>IF(Doces!A19="","",Doces!G19)</f>
        <v/>
      </c>
    </row>
    <row r="20" spans="1:8" x14ac:dyDescent="0.25">
      <c r="A20" s="6" t="str">
        <f>IF(Doces!A20="","","Doces")</f>
        <v/>
      </c>
      <c r="B20" s="2" t="str">
        <f>IF(Doces!A20="","",Doces!A20)</f>
        <v/>
      </c>
      <c r="C20" s="2" t="str">
        <f>IF(Doces!A20="","",Doces!B20)</f>
        <v/>
      </c>
      <c r="D20" s="3" t="str">
        <f>IF(Doces!A20="","",Doces!C20)</f>
        <v/>
      </c>
      <c r="E20" s="4" t="str">
        <f>IF(Doces!A20="","",Doces!D20)</f>
        <v/>
      </c>
      <c r="F20" s="4" t="str">
        <f>IF(Doces!A20="","",Doces!E20)</f>
        <v/>
      </c>
      <c r="G20" s="4" t="str">
        <f>IF(Doces!A20="","",Doces!F20)</f>
        <v/>
      </c>
      <c r="H20" s="4" t="str">
        <f>IF(Doces!A20="","",Doces!G20)</f>
        <v/>
      </c>
    </row>
    <row r="21" spans="1:8" x14ac:dyDescent="0.25">
      <c r="A21" s="6" t="str">
        <f>IF(Doces!A21="","","Doces")</f>
        <v/>
      </c>
      <c r="B21" s="2" t="str">
        <f>IF(Doces!A21="","",Doces!A21)</f>
        <v/>
      </c>
      <c r="C21" s="2" t="str">
        <f>IF(Doces!A21="","",Doces!B21)</f>
        <v/>
      </c>
      <c r="D21" s="3" t="str">
        <f>IF(Doces!A21="","",Doces!C21)</f>
        <v/>
      </c>
      <c r="E21" s="4" t="str">
        <f>IF(Doces!A21="","",Doces!D21)</f>
        <v/>
      </c>
      <c r="F21" s="4" t="str">
        <f>IF(Doces!A21="","",Doces!E21)</f>
        <v/>
      </c>
      <c r="G21" s="4" t="str">
        <f>IF(Doces!A21="","",Doces!F21)</f>
        <v/>
      </c>
      <c r="H21" s="4" t="str">
        <f>IF(Doces!A21="","",Doces!G21)</f>
        <v/>
      </c>
    </row>
    <row r="22" spans="1:8" x14ac:dyDescent="0.25">
      <c r="A22" s="6" t="str">
        <f>IF(Doces!A22="","","Doces")</f>
        <v/>
      </c>
      <c r="B22" s="2" t="str">
        <f>IF(Doces!A22="","",Doces!A22)</f>
        <v/>
      </c>
      <c r="C22" s="2" t="str">
        <f>IF(Doces!A22="","",Doces!B22)</f>
        <v/>
      </c>
      <c r="D22" s="3" t="str">
        <f>IF(Doces!A22="","",Doces!C22)</f>
        <v/>
      </c>
      <c r="E22" s="4" t="str">
        <f>IF(Doces!A22="","",Doces!D22)</f>
        <v/>
      </c>
      <c r="F22" s="4" t="str">
        <f>IF(Doces!A22="","",Doces!E22)</f>
        <v/>
      </c>
      <c r="G22" s="4" t="str">
        <f>IF(Doces!A22="","",Doces!F22)</f>
        <v/>
      </c>
      <c r="H22" s="4" t="str">
        <f>IF(Doces!A22="","",Doces!G22)</f>
        <v/>
      </c>
    </row>
    <row r="23" spans="1:8" x14ac:dyDescent="0.25">
      <c r="A23" s="6" t="str">
        <f>IF(Doces!A23="","","Doces")</f>
        <v/>
      </c>
      <c r="B23" s="2" t="str">
        <f>IF(Doces!A23="","",Doces!A23)</f>
        <v/>
      </c>
      <c r="C23" s="2" t="str">
        <f>IF(Doces!A23="","",Doces!B23)</f>
        <v/>
      </c>
      <c r="D23" s="3" t="str">
        <f>IF(Doces!A23="","",Doces!C23)</f>
        <v/>
      </c>
      <c r="E23" s="4" t="str">
        <f>IF(Doces!A23="","",Doces!D23)</f>
        <v/>
      </c>
      <c r="F23" s="4" t="str">
        <f>IF(Doces!A23="","",Doces!E23)</f>
        <v/>
      </c>
      <c r="G23" s="4" t="str">
        <f>IF(Doces!A23="","",Doces!F23)</f>
        <v/>
      </c>
      <c r="H23" s="4" t="str">
        <f>IF(Doces!A23="","",Doces!G23)</f>
        <v/>
      </c>
    </row>
    <row r="24" spans="1:8" x14ac:dyDescent="0.25">
      <c r="A24" s="6" t="str">
        <f>IF(Salgados!A4="","","Salgados")</f>
        <v/>
      </c>
      <c r="B24" s="2" t="str">
        <f>IF(Salgados!A4="","",Salgados!A4)</f>
        <v/>
      </c>
      <c r="C24" s="2" t="str">
        <f>IF(Salgados!A4="","",Salgados!B4)</f>
        <v/>
      </c>
      <c r="D24" s="3" t="str">
        <f>IF(Salgados!A4="","",Salgados!C4)</f>
        <v/>
      </c>
      <c r="E24" s="4" t="str">
        <f>IF(Salgados!A4="","",Salgados!D4)</f>
        <v/>
      </c>
      <c r="F24" s="4" t="str">
        <f>IF(Salgados!A4="","",Salgados!E4)</f>
        <v/>
      </c>
      <c r="G24" s="4" t="str">
        <f>IF(Salgados!A4="","",Salgados!F4)</f>
        <v/>
      </c>
      <c r="H24" s="4" t="str">
        <f>IF(Salgados!A4="","",Salgados!G4)</f>
        <v/>
      </c>
    </row>
    <row r="25" spans="1:8" x14ac:dyDescent="0.25">
      <c r="A25" s="6" t="str">
        <f>IF(Salgados!A5="","","Salgados")</f>
        <v/>
      </c>
      <c r="B25" s="2" t="str">
        <f>IF(Salgados!A5="","",Salgados!A5)</f>
        <v/>
      </c>
      <c r="C25" s="2" t="str">
        <f>IF(Salgados!A5="","",Salgados!B5)</f>
        <v/>
      </c>
      <c r="D25" s="3" t="str">
        <f>IF(Salgados!A5="","",Salgados!C5)</f>
        <v/>
      </c>
      <c r="E25" s="4" t="str">
        <f>IF(Salgados!A5="","",Salgados!D5)</f>
        <v/>
      </c>
      <c r="F25" s="4" t="str">
        <f>IF(Salgados!A5="","",Salgados!E5)</f>
        <v/>
      </c>
      <c r="G25" s="4" t="str">
        <f>IF(Salgados!A5="","",Salgados!F5)</f>
        <v/>
      </c>
      <c r="H25" s="4" t="str">
        <f>IF(Salgados!A5="","",Salgados!G5)</f>
        <v/>
      </c>
    </row>
    <row r="26" spans="1:8" x14ac:dyDescent="0.25">
      <c r="A26" s="6" t="str">
        <f>IF(Salgados!A6="","","Salgados")</f>
        <v/>
      </c>
      <c r="B26" s="2" t="str">
        <f>IF(Salgados!A6="","",Salgados!A6)</f>
        <v/>
      </c>
      <c r="C26" s="2" t="str">
        <f>IF(Salgados!A6="","",Salgados!B6)</f>
        <v/>
      </c>
      <c r="D26" s="3" t="str">
        <f>IF(Salgados!A6="","",Salgados!C6)</f>
        <v/>
      </c>
      <c r="E26" s="4" t="str">
        <f>IF(Salgados!A6="","",Salgados!D6)</f>
        <v/>
      </c>
      <c r="F26" s="4" t="str">
        <f>IF(Salgados!A6="","",Salgados!E6)</f>
        <v/>
      </c>
      <c r="G26" s="4" t="str">
        <f>IF(Salgados!A6="","",Salgados!F6)</f>
        <v/>
      </c>
      <c r="H26" s="4" t="str">
        <f>IF(Salgados!A6="","",Salgados!G6)</f>
        <v/>
      </c>
    </row>
    <row r="27" spans="1:8" x14ac:dyDescent="0.25">
      <c r="A27" s="6" t="str">
        <f>IF(Salgados!A7="","","Salgados")</f>
        <v/>
      </c>
      <c r="B27" s="2" t="str">
        <f>IF(Salgados!A7="","",Salgados!A7)</f>
        <v/>
      </c>
      <c r="C27" s="2" t="str">
        <f>IF(Salgados!A7="","",Salgados!B7)</f>
        <v/>
      </c>
      <c r="D27" s="3" t="str">
        <f>IF(Salgados!A7="","",Salgados!C7)</f>
        <v/>
      </c>
      <c r="E27" s="4" t="str">
        <f>IF(Salgados!A7="","",Salgados!D7)</f>
        <v/>
      </c>
      <c r="F27" s="4" t="str">
        <f>IF(Salgados!A7="","",Salgados!E7)</f>
        <v/>
      </c>
      <c r="G27" s="4" t="str">
        <f>IF(Salgados!A7="","",Salgados!F7)</f>
        <v/>
      </c>
      <c r="H27" s="4" t="str">
        <f>IF(Salgados!A7="","",Salgados!G7)</f>
        <v/>
      </c>
    </row>
    <row r="28" spans="1:8" x14ac:dyDescent="0.25">
      <c r="A28" s="6" t="str">
        <f>IF(Salgados!A8="","","Salgados")</f>
        <v/>
      </c>
      <c r="B28" s="2" t="str">
        <f>IF(Salgados!A8="","",Salgados!A8)</f>
        <v/>
      </c>
      <c r="C28" s="2" t="str">
        <f>IF(Salgados!A8="","",Salgados!B8)</f>
        <v/>
      </c>
      <c r="D28" s="3" t="str">
        <f>IF(Salgados!A8="","",Salgados!C8)</f>
        <v/>
      </c>
      <c r="E28" s="4" t="str">
        <f>IF(Salgados!A8="","",Salgados!D8)</f>
        <v/>
      </c>
      <c r="F28" s="4" t="str">
        <f>IF(Salgados!A8="","",Salgados!E8)</f>
        <v/>
      </c>
      <c r="G28" s="4" t="str">
        <f>IF(Salgados!A8="","",Salgados!F8)</f>
        <v/>
      </c>
      <c r="H28" s="4" t="str">
        <f>IF(Salgados!A8="","",Salgados!G8)</f>
        <v/>
      </c>
    </row>
    <row r="29" spans="1:8" x14ac:dyDescent="0.25">
      <c r="A29" s="6" t="str">
        <f>IF(Salgados!A9="","","Salgados")</f>
        <v/>
      </c>
      <c r="B29" s="2" t="str">
        <f>IF(Salgados!A9="","",Salgados!A9)</f>
        <v/>
      </c>
      <c r="C29" s="2" t="str">
        <f>IF(Salgados!A9="","",Salgados!B9)</f>
        <v/>
      </c>
      <c r="D29" s="3" t="str">
        <f>IF(Salgados!A9="","",Salgados!C9)</f>
        <v/>
      </c>
      <c r="E29" s="4" t="str">
        <f>IF(Salgados!A9="","",Salgados!D9)</f>
        <v/>
      </c>
      <c r="F29" s="4" t="str">
        <f>IF(Salgados!A9="","",Salgados!E9)</f>
        <v/>
      </c>
      <c r="G29" s="4" t="str">
        <f>IF(Salgados!A9="","",Salgados!F9)</f>
        <v/>
      </c>
      <c r="H29" s="4" t="str">
        <f>IF(Salgados!A9="","",Salgados!G9)</f>
        <v/>
      </c>
    </row>
    <row r="30" spans="1:8" x14ac:dyDescent="0.25">
      <c r="A30" s="6" t="str">
        <f>IF(Salgados!A10="","","Salgados")</f>
        <v/>
      </c>
      <c r="B30" s="2" t="str">
        <f>IF(Salgados!A10="","",Salgados!A10)</f>
        <v/>
      </c>
      <c r="C30" s="2" t="str">
        <f>IF(Salgados!A10="","",Salgados!B10)</f>
        <v/>
      </c>
      <c r="D30" s="3" t="str">
        <f>IF(Salgados!A10="","",Salgados!C10)</f>
        <v/>
      </c>
      <c r="E30" s="4" t="str">
        <f>IF(Salgados!A10="","",Salgados!D10)</f>
        <v/>
      </c>
      <c r="F30" s="4" t="str">
        <f>IF(Salgados!A10="","",Salgados!E10)</f>
        <v/>
      </c>
      <c r="G30" s="4" t="str">
        <f>IF(Salgados!A10="","",Salgados!F10)</f>
        <v/>
      </c>
      <c r="H30" s="4" t="str">
        <f>IF(Salgados!A10="","",Salgados!G10)</f>
        <v/>
      </c>
    </row>
    <row r="31" spans="1:8" x14ac:dyDescent="0.25">
      <c r="A31" s="6" t="str">
        <f>IF(Salgados!A11="","","Salgados")</f>
        <v/>
      </c>
      <c r="B31" s="2" t="str">
        <f>IF(Salgados!A11="","",Salgados!A11)</f>
        <v/>
      </c>
      <c r="C31" s="2" t="str">
        <f>IF(Salgados!A11="","",Salgados!B11)</f>
        <v/>
      </c>
      <c r="D31" s="3" t="str">
        <f>IF(Salgados!A11="","",Salgados!C11)</f>
        <v/>
      </c>
      <c r="E31" s="4" t="str">
        <f>IF(Salgados!A11="","",Salgados!D11)</f>
        <v/>
      </c>
      <c r="F31" s="4" t="str">
        <f>IF(Salgados!A11="","",Salgados!E11)</f>
        <v/>
      </c>
      <c r="G31" s="4" t="str">
        <f>IF(Salgados!A11="","",Salgados!F11)</f>
        <v/>
      </c>
      <c r="H31" s="4" t="str">
        <f>IF(Salgados!A11="","",Salgados!G11)</f>
        <v/>
      </c>
    </row>
    <row r="32" spans="1:8" x14ac:dyDescent="0.25">
      <c r="A32" s="6" t="str">
        <f>IF(Salgados!A12="","","Salgados")</f>
        <v/>
      </c>
      <c r="B32" s="2" t="str">
        <f>IF(Salgados!A12="","",Salgados!A12)</f>
        <v/>
      </c>
      <c r="C32" s="2" t="str">
        <f>IF(Salgados!A12="","",Salgados!B12)</f>
        <v/>
      </c>
      <c r="D32" s="3" t="str">
        <f>IF(Salgados!A12="","",Salgados!C12)</f>
        <v/>
      </c>
      <c r="E32" s="4" t="str">
        <f>IF(Salgados!A12="","",Salgados!D12)</f>
        <v/>
      </c>
      <c r="F32" s="4" t="str">
        <f>IF(Salgados!A12="","",Salgados!E12)</f>
        <v/>
      </c>
      <c r="G32" s="4" t="str">
        <f>IF(Salgados!A12="","",Salgados!F12)</f>
        <v/>
      </c>
      <c r="H32" s="4" t="str">
        <f>IF(Salgados!A12="","",Salgados!G12)</f>
        <v/>
      </c>
    </row>
    <row r="33" spans="1:8" x14ac:dyDescent="0.25">
      <c r="A33" s="6" t="str">
        <f>IF(Salgados!A13="","","Salgados")</f>
        <v/>
      </c>
      <c r="B33" s="2" t="str">
        <f>IF(Salgados!A13="","",Salgados!A13)</f>
        <v/>
      </c>
      <c r="C33" s="2" t="str">
        <f>IF(Salgados!A13="","",Salgados!B13)</f>
        <v/>
      </c>
      <c r="D33" s="3" t="str">
        <f>IF(Salgados!A13="","",Salgados!C13)</f>
        <v/>
      </c>
      <c r="E33" s="4" t="str">
        <f>IF(Salgados!A13="","",Salgados!D13)</f>
        <v/>
      </c>
      <c r="F33" s="4" t="str">
        <f>IF(Salgados!A13="","",Salgados!E13)</f>
        <v/>
      </c>
      <c r="G33" s="4" t="str">
        <f>IF(Salgados!A13="","",Salgados!F13)</f>
        <v/>
      </c>
      <c r="H33" s="4" t="str">
        <f>IF(Salgados!A13="","",Salgados!G13)</f>
        <v/>
      </c>
    </row>
    <row r="34" spans="1:8" x14ac:dyDescent="0.25">
      <c r="A34" s="6" t="str">
        <f>IF(Salgados!A14="","","Salgados")</f>
        <v/>
      </c>
      <c r="B34" s="2" t="str">
        <f>IF(Salgados!A14="","",Salgados!A14)</f>
        <v/>
      </c>
      <c r="C34" s="2" t="str">
        <f>IF(Salgados!A14="","",Salgados!B14)</f>
        <v/>
      </c>
      <c r="D34" s="3" t="str">
        <f>IF(Salgados!A14="","",Salgados!C14)</f>
        <v/>
      </c>
      <c r="E34" s="4" t="str">
        <f>IF(Salgados!A14="","",Salgados!D14)</f>
        <v/>
      </c>
      <c r="F34" s="4" t="str">
        <f>IF(Salgados!A14="","",Salgados!E14)</f>
        <v/>
      </c>
      <c r="G34" s="4" t="str">
        <f>IF(Salgados!A14="","",Salgados!F14)</f>
        <v/>
      </c>
      <c r="H34" s="4" t="str">
        <f>IF(Salgados!A14="","",Salgados!G14)</f>
        <v/>
      </c>
    </row>
    <row r="35" spans="1:8" x14ac:dyDescent="0.25">
      <c r="A35" s="6" t="str">
        <f>IF(Salgados!A15="","","Salgados")</f>
        <v/>
      </c>
      <c r="B35" s="2" t="str">
        <f>IF(Salgados!A15="","",Salgados!A15)</f>
        <v/>
      </c>
      <c r="C35" s="2" t="str">
        <f>IF(Salgados!A15="","",Salgados!B15)</f>
        <v/>
      </c>
      <c r="D35" s="3" t="str">
        <f>IF(Salgados!A15="","",Salgados!C15)</f>
        <v/>
      </c>
      <c r="E35" s="4" t="str">
        <f>IF(Salgados!A15="","",Salgados!D15)</f>
        <v/>
      </c>
      <c r="F35" s="4" t="str">
        <f>IF(Salgados!A15="","",Salgados!E15)</f>
        <v/>
      </c>
      <c r="G35" s="4" t="str">
        <f>IF(Salgados!A15="","",Salgados!F15)</f>
        <v/>
      </c>
      <c r="H35" s="4" t="str">
        <f>IF(Salgados!A15="","",Salgados!G15)</f>
        <v/>
      </c>
    </row>
    <row r="36" spans="1:8" x14ac:dyDescent="0.25">
      <c r="A36" s="6" t="str">
        <f>IF(Salgados!A16="","","Salgados")</f>
        <v/>
      </c>
      <c r="B36" s="2" t="str">
        <f>IF(Salgados!A16="","",Salgados!A16)</f>
        <v/>
      </c>
      <c r="C36" s="2" t="str">
        <f>IF(Salgados!A16="","",Salgados!B16)</f>
        <v/>
      </c>
      <c r="D36" s="3" t="str">
        <f>IF(Salgados!A16="","",Salgados!C16)</f>
        <v/>
      </c>
      <c r="E36" s="4" t="str">
        <f>IF(Salgados!A16="","",Salgados!D16)</f>
        <v/>
      </c>
      <c r="F36" s="4" t="str">
        <f>IF(Salgados!A16="","",Salgados!E16)</f>
        <v/>
      </c>
      <c r="G36" s="4" t="str">
        <f>IF(Salgados!A16="","",Salgados!F16)</f>
        <v/>
      </c>
      <c r="H36" s="4" t="str">
        <f>IF(Salgados!A16="","",Salgados!G16)</f>
        <v/>
      </c>
    </row>
    <row r="37" spans="1:8" x14ac:dyDescent="0.25">
      <c r="A37" s="6" t="str">
        <f>IF(Salgados!A17="","","Salgados")</f>
        <v/>
      </c>
      <c r="B37" s="2" t="str">
        <f>IF(Salgados!A17="","",Salgados!A17)</f>
        <v/>
      </c>
      <c r="C37" s="2" t="str">
        <f>IF(Salgados!A17="","",Salgados!B17)</f>
        <v/>
      </c>
      <c r="D37" s="3" t="str">
        <f>IF(Salgados!A17="","",Salgados!C17)</f>
        <v/>
      </c>
      <c r="E37" s="4" t="str">
        <f>IF(Salgados!A17="","",Salgados!D17)</f>
        <v/>
      </c>
      <c r="F37" s="4" t="str">
        <f>IF(Salgados!A17="","",Salgados!E17)</f>
        <v/>
      </c>
      <c r="G37" s="4" t="str">
        <f>IF(Salgados!A17="","",Salgados!F17)</f>
        <v/>
      </c>
      <c r="H37" s="4" t="str">
        <f>IF(Salgados!A17="","",Salgados!G17)</f>
        <v/>
      </c>
    </row>
    <row r="38" spans="1:8" x14ac:dyDescent="0.25">
      <c r="A38" s="6" t="str">
        <f>IF(Salgados!A18="","","Salgados")</f>
        <v/>
      </c>
      <c r="B38" s="2" t="str">
        <f>IF(Salgados!A18="","",Salgados!A18)</f>
        <v/>
      </c>
      <c r="C38" s="2" t="str">
        <f>IF(Salgados!A18="","",Salgados!B18)</f>
        <v/>
      </c>
      <c r="D38" s="3" t="str">
        <f>IF(Salgados!A18="","",Salgados!C18)</f>
        <v/>
      </c>
      <c r="E38" s="4" t="str">
        <f>IF(Salgados!A18="","",Salgados!D18)</f>
        <v/>
      </c>
      <c r="F38" s="4" t="str">
        <f>IF(Salgados!A18="","",Salgados!E18)</f>
        <v/>
      </c>
      <c r="G38" s="4" t="str">
        <f>IF(Salgados!A18="","",Salgados!F18)</f>
        <v/>
      </c>
      <c r="H38" s="4" t="str">
        <f>IF(Salgados!A18="","",Salgados!G18)</f>
        <v/>
      </c>
    </row>
    <row r="39" spans="1:8" x14ac:dyDescent="0.25">
      <c r="A39" s="6" t="str">
        <f>IF(Salgados!A19="","","Salgados")</f>
        <v/>
      </c>
      <c r="B39" s="2" t="str">
        <f>IF(Salgados!A19="","",Salgados!A19)</f>
        <v/>
      </c>
      <c r="C39" s="2" t="str">
        <f>IF(Salgados!A19="","",Salgados!B19)</f>
        <v/>
      </c>
      <c r="D39" s="3" t="str">
        <f>IF(Salgados!A19="","",Salgados!C19)</f>
        <v/>
      </c>
      <c r="E39" s="4" t="str">
        <f>IF(Salgados!A19="","",Salgados!D19)</f>
        <v/>
      </c>
      <c r="F39" s="4" t="str">
        <f>IF(Salgados!A19="","",Salgados!E19)</f>
        <v/>
      </c>
      <c r="G39" s="4" t="str">
        <f>IF(Salgados!A19="","",Salgados!F19)</f>
        <v/>
      </c>
      <c r="H39" s="4" t="str">
        <f>IF(Salgados!A19="","",Salgados!G19)</f>
        <v/>
      </c>
    </row>
    <row r="40" spans="1:8" x14ac:dyDescent="0.25">
      <c r="A40" s="6" t="str">
        <f>IF(Salgados!A20="","","Salgados")</f>
        <v/>
      </c>
      <c r="B40" s="2" t="str">
        <f>IF(Salgados!A20="","",Salgados!A20)</f>
        <v/>
      </c>
      <c r="C40" s="2" t="str">
        <f>IF(Salgados!A20="","",Salgados!B20)</f>
        <v/>
      </c>
      <c r="D40" s="3" t="str">
        <f>IF(Salgados!A20="","",Salgados!C20)</f>
        <v/>
      </c>
      <c r="E40" s="4" t="str">
        <f>IF(Salgados!A20="","",Salgados!D20)</f>
        <v/>
      </c>
      <c r="F40" s="4" t="str">
        <f>IF(Salgados!A20="","",Salgados!E20)</f>
        <v/>
      </c>
      <c r="G40" s="4" t="str">
        <f>IF(Salgados!A20="","",Salgados!F20)</f>
        <v/>
      </c>
      <c r="H40" s="4" t="str">
        <f>IF(Salgados!A20="","",Salgados!G20)</f>
        <v/>
      </c>
    </row>
    <row r="41" spans="1:8" x14ac:dyDescent="0.25">
      <c r="A41" s="6" t="str">
        <f>IF(Salgados!A21="","","Salgados")</f>
        <v/>
      </c>
      <c r="B41" s="2" t="str">
        <f>IF(Salgados!A21="","",Salgados!A21)</f>
        <v/>
      </c>
      <c r="C41" s="2" t="str">
        <f>IF(Salgados!A21="","",Salgados!B21)</f>
        <v/>
      </c>
      <c r="D41" s="3" t="str">
        <f>IF(Salgados!A21="","",Salgados!C21)</f>
        <v/>
      </c>
      <c r="E41" s="4" t="str">
        <f>IF(Salgados!A21="","",Salgados!D21)</f>
        <v/>
      </c>
      <c r="F41" s="4" t="str">
        <f>IF(Salgados!A21="","",Salgados!E21)</f>
        <v/>
      </c>
      <c r="G41" s="4" t="str">
        <f>IF(Salgados!A21="","",Salgados!F21)</f>
        <v/>
      </c>
      <c r="H41" s="4" t="str">
        <f>IF(Salgados!A21="","",Salgados!G21)</f>
        <v/>
      </c>
    </row>
    <row r="42" spans="1:8" x14ac:dyDescent="0.25">
      <c r="A42" s="6" t="str">
        <f>IF(Salgados!A22="","","Salgados")</f>
        <v/>
      </c>
      <c r="B42" s="2" t="str">
        <f>IF(Salgados!A22="","",Salgados!A22)</f>
        <v/>
      </c>
      <c r="C42" s="2" t="str">
        <f>IF(Salgados!A22="","",Salgados!B22)</f>
        <v/>
      </c>
      <c r="D42" s="3" t="str">
        <f>IF(Salgados!A22="","",Salgados!C22)</f>
        <v/>
      </c>
      <c r="E42" s="4" t="str">
        <f>IF(Salgados!A22="","",Salgados!D22)</f>
        <v/>
      </c>
      <c r="F42" s="4" t="str">
        <f>IF(Salgados!A22="","",Salgados!E22)</f>
        <v/>
      </c>
      <c r="G42" s="4" t="str">
        <f>IF(Salgados!A22="","",Salgados!F22)</f>
        <v/>
      </c>
      <c r="H42" s="4" t="str">
        <f>IF(Salgados!A22="","",Salgados!G22)</f>
        <v/>
      </c>
    </row>
    <row r="43" spans="1:8" x14ac:dyDescent="0.25">
      <c r="A43" s="6" t="str">
        <f>IF(Salgados!A23="","","Salgados")</f>
        <v/>
      </c>
      <c r="B43" s="2" t="str">
        <f>IF(Salgados!A23="","",Salgados!A23)</f>
        <v/>
      </c>
      <c r="C43" s="2" t="str">
        <f>IF(Salgados!A23="","",Salgados!B23)</f>
        <v/>
      </c>
      <c r="D43" s="3" t="str">
        <f>IF(Salgados!A23="","",Salgados!C23)</f>
        <v/>
      </c>
      <c r="E43" s="4" t="str">
        <f>IF(Salgados!A23="","",Salgados!D23)</f>
        <v/>
      </c>
      <c r="F43" s="4" t="str">
        <f>IF(Salgados!A23="","",Salgados!E23)</f>
        <v/>
      </c>
      <c r="G43" s="4" t="str">
        <f>IF(Salgados!A23="","",Salgados!F23)</f>
        <v/>
      </c>
      <c r="H43" s="4" t="str">
        <f>IF(Salgados!A23="","",Salgados!G23)</f>
        <v/>
      </c>
    </row>
    <row r="44" spans="1:8" x14ac:dyDescent="0.25">
      <c r="A44" s="6" t="str">
        <f>IF(Bebidas!A4="","","Bebidas")</f>
        <v/>
      </c>
      <c r="B44" s="2" t="str">
        <f>IF(Bebidas!A4="","",Bebidas!A4)</f>
        <v/>
      </c>
      <c r="C44" s="9" t="str">
        <f>IF(Bebidas!A4="","",Bebidas!B4)</f>
        <v/>
      </c>
      <c r="D44" s="3" t="str">
        <f>IF(Bebidas!A4="","",Bebidas!C4)</f>
        <v/>
      </c>
      <c r="E44" s="4" t="str">
        <f>IF(Bebidas!A4="","",Bebidas!D4)</f>
        <v/>
      </c>
      <c r="F44" s="4" t="str">
        <f>IF(Bebidas!A4="","",Bebidas!E4)</f>
        <v/>
      </c>
      <c r="G44" s="4" t="str">
        <f>IF(Bebidas!A4="","",Bebidas!F4)</f>
        <v/>
      </c>
      <c r="H44" s="4" t="str">
        <f>IF(Bebidas!A4="","",Bebidas!G4)</f>
        <v/>
      </c>
    </row>
    <row r="45" spans="1:8" x14ac:dyDescent="0.25">
      <c r="A45" s="6" t="str">
        <f>IF(Bebidas!A5="","","Bebidas")</f>
        <v/>
      </c>
      <c r="B45" s="2" t="str">
        <f>IF(Bebidas!A5="","",Bebidas!A5)</f>
        <v/>
      </c>
      <c r="C45" s="9" t="str">
        <f>IF(Bebidas!A5="","",Bebidas!B5)</f>
        <v/>
      </c>
      <c r="D45" s="3" t="str">
        <f>IF(Bebidas!A5="","",Bebidas!C5)</f>
        <v/>
      </c>
      <c r="E45" s="4" t="str">
        <f>IF(Bebidas!A5="","",Bebidas!D5)</f>
        <v/>
      </c>
      <c r="F45" s="4" t="str">
        <f>IF(Bebidas!A5="","",Bebidas!E5)</f>
        <v/>
      </c>
      <c r="G45" s="4" t="str">
        <f>IF(Bebidas!A5="","",Bebidas!F5)</f>
        <v/>
      </c>
      <c r="H45" s="4" t="str">
        <f>IF(Bebidas!A5="","",Bebidas!G5)</f>
        <v/>
      </c>
    </row>
    <row r="46" spans="1:8" x14ac:dyDescent="0.25">
      <c r="A46" s="6" t="str">
        <f>IF(Bebidas!A6="","","Bebidas")</f>
        <v/>
      </c>
      <c r="B46" s="2" t="str">
        <f>IF(Bebidas!A6="","",Bebidas!A6)</f>
        <v/>
      </c>
      <c r="C46" s="9" t="str">
        <f>IF(Bebidas!A6="","",Bebidas!B6)</f>
        <v/>
      </c>
      <c r="D46" s="3" t="str">
        <f>IF(Bebidas!A6="","",Bebidas!C6)</f>
        <v/>
      </c>
      <c r="E46" s="4" t="str">
        <f>IF(Bebidas!A6="","",Bebidas!D6)</f>
        <v/>
      </c>
      <c r="F46" s="4" t="str">
        <f>IF(Bebidas!A6="","",Bebidas!E6)</f>
        <v/>
      </c>
      <c r="G46" s="4" t="str">
        <f>IF(Bebidas!A6="","",Bebidas!F6)</f>
        <v/>
      </c>
      <c r="H46" s="4" t="str">
        <f>IF(Bebidas!A6="","",Bebidas!G6)</f>
        <v/>
      </c>
    </row>
    <row r="47" spans="1:8" x14ac:dyDescent="0.25">
      <c r="A47" s="6" t="str">
        <f>IF(Bebidas!A7="","","Bebidas")</f>
        <v/>
      </c>
      <c r="B47" s="2" t="str">
        <f>IF(Bebidas!A7="","",Bebidas!A7)</f>
        <v/>
      </c>
      <c r="C47" s="9" t="str">
        <f>IF(Bebidas!A7="","",Bebidas!B7)</f>
        <v/>
      </c>
      <c r="D47" s="3" t="str">
        <f>IF(Bebidas!A7="","",Bebidas!C7)</f>
        <v/>
      </c>
      <c r="E47" s="4" t="str">
        <f>IF(Bebidas!A7="","",Bebidas!D7)</f>
        <v/>
      </c>
      <c r="F47" s="4" t="str">
        <f>IF(Bebidas!A7="","",Bebidas!E7)</f>
        <v/>
      </c>
      <c r="G47" s="4" t="str">
        <f>IF(Bebidas!A7="","",Bebidas!F7)</f>
        <v/>
      </c>
      <c r="H47" s="4" t="str">
        <f>IF(Bebidas!A7="","",Bebidas!G7)</f>
        <v/>
      </c>
    </row>
    <row r="48" spans="1:8" x14ac:dyDescent="0.25">
      <c r="A48" s="6" t="str">
        <f>IF(Bebidas!A8="","","Bebidas")</f>
        <v/>
      </c>
      <c r="B48" s="2" t="str">
        <f>IF(Bebidas!A8="","",Bebidas!A8)</f>
        <v/>
      </c>
      <c r="C48" s="9" t="str">
        <f>IF(Bebidas!A8="","",Bebidas!B8)</f>
        <v/>
      </c>
      <c r="D48" s="3" t="str">
        <f>IF(Bebidas!A8="","",Bebidas!C8)</f>
        <v/>
      </c>
      <c r="E48" s="4" t="str">
        <f>IF(Bebidas!A8="","",Bebidas!D8)</f>
        <v/>
      </c>
      <c r="F48" s="4" t="str">
        <f>IF(Bebidas!A8="","",Bebidas!E8)</f>
        <v/>
      </c>
      <c r="G48" s="4" t="str">
        <f>IF(Bebidas!A8="","",Bebidas!F8)</f>
        <v/>
      </c>
      <c r="H48" s="4" t="str">
        <f>IF(Bebidas!A8="","",Bebidas!G8)</f>
        <v/>
      </c>
    </row>
    <row r="49" spans="1:8" x14ac:dyDescent="0.25">
      <c r="A49" s="6" t="str">
        <f>IF(Bebidas!A9="","","Bebidas")</f>
        <v/>
      </c>
      <c r="B49" s="2" t="str">
        <f>IF(Bebidas!A9="","",Bebidas!A9)</f>
        <v/>
      </c>
      <c r="C49" s="9" t="str">
        <f>IF(Bebidas!A9="","",Bebidas!B9)</f>
        <v/>
      </c>
      <c r="D49" s="3" t="str">
        <f>IF(Bebidas!A9="","",Bebidas!C9)</f>
        <v/>
      </c>
      <c r="E49" s="4" t="str">
        <f>IF(Bebidas!A9="","",Bebidas!D9)</f>
        <v/>
      </c>
      <c r="F49" s="4" t="str">
        <f>IF(Bebidas!A9="","",Bebidas!E9)</f>
        <v/>
      </c>
      <c r="G49" s="4" t="str">
        <f>IF(Bebidas!A9="","",Bebidas!F9)</f>
        <v/>
      </c>
      <c r="H49" s="4" t="str">
        <f>IF(Bebidas!A9="","",Bebidas!G9)</f>
        <v/>
      </c>
    </row>
    <row r="50" spans="1:8" x14ac:dyDescent="0.25">
      <c r="A50" s="6" t="str">
        <f>IF(Bebidas!A10="","","Bebidas")</f>
        <v/>
      </c>
      <c r="B50" s="2" t="str">
        <f>IF(Bebidas!A10="","",Bebidas!A10)</f>
        <v/>
      </c>
      <c r="C50" s="9" t="str">
        <f>IF(Bebidas!A10="","",Bebidas!B10)</f>
        <v/>
      </c>
      <c r="D50" s="3" t="str">
        <f>IF(Bebidas!A10="","",Bebidas!C10)</f>
        <v/>
      </c>
      <c r="E50" s="4" t="str">
        <f>IF(Bebidas!A10="","",Bebidas!D10)</f>
        <v/>
      </c>
      <c r="F50" s="4" t="str">
        <f>IF(Bebidas!A10="","",Bebidas!E10)</f>
        <v/>
      </c>
      <c r="G50" s="4" t="str">
        <f>IF(Bebidas!A10="","",Bebidas!F10)</f>
        <v/>
      </c>
      <c r="H50" s="4" t="str">
        <f>IF(Bebidas!A10="","",Bebidas!G10)</f>
        <v/>
      </c>
    </row>
    <row r="51" spans="1:8" x14ac:dyDescent="0.25">
      <c r="A51" s="6" t="str">
        <f>IF(Bebidas!A11="","","Bebidas")</f>
        <v/>
      </c>
      <c r="B51" s="2" t="str">
        <f>IF(Bebidas!A11="","",Bebidas!A11)</f>
        <v/>
      </c>
      <c r="C51" s="9" t="str">
        <f>IF(Bebidas!A11="","",Bebidas!B11)</f>
        <v/>
      </c>
      <c r="D51" s="3" t="str">
        <f>IF(Bebidas!A11="","",Bebidas!C11)</f>
        <v/>
      </c>
      <c r="E51" s="4" t="str">
        <f>IF(Bebidas!A11="","",Bebidas!D11)</f>
        <v/>
      </c>
      <c r="F51" s="4" t="str">
        <f>IF(Bebidas!A11="","",Bebidas!E11)</f>
        <v/>
      </c>
      <c r="G51" s="4" t="str">
        <f>IF(Bebidas!A11="","",Bebidas!F11)</f>
        <v/>
      </c>
      <c r="H51" s="4" t="str">
        <f>IF(Bebidas!A11="","",Bebidas!G11)</f>
        <v/>
      </c>
    </row>
    <row r="52" spans="1:8" x14ac:dyDescent="0.25">
      <c r="A52" s="6" t="str">
        <f>IF(Bebidas!A12="","","Bebidas")</f>
        <v/>
      </c>
      <c r="B52" s="2" t="str">
        <f>IF(Bebidas!A12="","",Bebidas!A12)</f>
        <v/>
      </c>
      <c r="C52" s="9" t="str">
        <f>IF(Bebidas!A12="","",Bebidas!B12)</f>
        <v/>
      </c>
      <c r="D52" s="3" t="str">
        <f>IF(Bebidas!A12="","",Bebidas!C12)</f>
        <v/>
      </c>
      <c r="E52" s="4" t="str">
        <f>IF(Bebidas!A12="","",Bebidas!D12)</f>
        <v/>
      </c>
      <c r="F52" s="4" t="str">
        <f>IF(Bebidas!A12="","",Bebidas!E12)</f>
        <v/>
      </c>
      <c r="G52" s="4" t="str">
        <f>IF(Bebidas!A12="","",Bebidas!F12)</f>
        <v/>
      </c>
      <c r="H52" s="4" t="str">
        <f>IF(Bebidas!A12="","",Bebidas!G12)</f>
        <v/>
      </c>
    </row>
    <row r="53" spans="1:8" x14ac:dyDescent="0.25">
      <c r="A53" s="6" t="str">
        <f>IF(Bebidas!A13="","","Bebidas")</f>
        <v/>
      </c>
      <c r="B53" s="2" t="str">
        <f>IF(Bebidas!A13="","",Bebidas!A13)</f>
        <v/>
      </c>
      <c r="C53" s="9" t="str">
        <f>IF(Bebidas!A13="","",Bebidas!B13)</f>
        <v/>
      </c>
      <c r="D53" s="3" t="str">
        <f>IF(Bebidas!A13="","",Bebidas!C13)</f>
        <v/>
      </c>
      <c r="E53" s="4" t="str">
        <f>IF(Bebidas!A13="","",Bebidas!D13)</f>
        <v/>
      </c>
      <c r="F53" s="4" t="str">
        <f>IF(Bebidas!A13="","",Bebidas!E13)</f>
        <v/>
      </c>
      <c r="G53" s="4" t="str">
        <f>IF(Bebidas!A13="","",Bebidas!F13)</f>
        <v/>
      </c>
      <c r="H53" s="4" t="str">
        <f>IF(Bebidas!A13="","",Bebidas!G13)</f>
        <v/>
      </c>
    </row>
    <row r="54" spans="1:8" x14ac:dyDescent="0.25">
      <c r="A54" s="6" t="str">
        <f>IF(Bebidas!A14="","","Bebidas")</f>
        <v/>
      </c>
      <c r="B54" s="2" t="str">
        <f>IF(Bebidas!A14="","",Bebidas!A14)</f>
        <v/>
      </c>
      <c r="C54" s="9" t="str">
        <f>IF(Bebidas!A14="","",Bebidas!B14)</f>
        <v/>
      </c>
      <c r="D54" s="3" t="str">
        <f>IF(Bebidas!A14="","",Bebidas!C14)</f>
        <v/>
      </c>
      <c r="E54" s="4" t="str">
        <f>IF(Bebidas!A14="","",Bebidas!D14)</f>
        <v/>
      </c>
      <c r="F54" s="4" t="str">
        <f>IF(Bebidas!A14="","",Bebidas!E14)</f>
        <v/>
      </c>
      <c r="G54" s="4" t="str">
        <f>IF(Bebidas!A14="","",Bebidas!F14)</f>
        <v/>
      </c>
      <c r="H54" s="4" t="str">
        <f>IF(Bebidas!A14="","",Bebidas!G14)</f>
        <v/>
      </c>
    </row>
    <row r="55" spans="1:8" x14ac:dyDescent="0.25">
      <c r="A55" s="6" t="str">
        <f>IF(Bebidas!A15="","","Bebidas")</f>
        <v/>
      </c>
      <c r="B55" s="2" t="str">
        <f>IF(Bebidas!A15="","",Bebidas!A15)</f>
        <v/>
      </c>
      <c r="C55" s="9" t="str">
        <f>IF(Bebidas!A15="","",Bebidas!B15)</f>
        <v/>
      </c>
      <c r="D55" s="3" t="str">
        <f>IF(Bebidas!A15="","",Bebidas!C15)</f>
        <v/>
      </c>
      <c r="E55" s="4" t="str">
        <f>IF(Bebidas!A15="","",Bebidas!D15)</f>
        <v/>
      </c>
      <c r="F55" s="4" t="str">
        <f>IF(Bebidas!A15="","",Bebidas!E15)</f>
        <v/>
      </c>
      <c r="G55" s="4" t="str">
        <f>IF(Bebidas!A15="","",Bebidas!F15)</f>
        <v/>
      </c>
      <c r="H55" s="4" t="str">
        <f>IF(Bebidas!A15="","",Bebidas!G15)</f>
        <v/>
      </c>
    </row>
    <row r="56" spans="1:8" x14ac:dyDescent="0.25">
      <c r="A56" s="6" t="str">
        <f>IF(Bebidas!A16="","","Bebidas")</f>
        <v/>
      </c>
      <c r="B56" s="2" t="str">
        <f>IF(Bebidas!A16="","",Bebidas!A16)</f>
        <v/>
      </c>
      <c r="C56" s="9" t="str">
        <f>IF(Bebidas!A16="","",Bebidas!B16)</f>
        <v/>
      </c>
      <c r="D56" s="3" t="str">
        <f>IF(Bebidas!A16="","",Bebidas!C16)</f>
        <v/>
      </c>
      <c r="E56" s="4" t="str">
        <f>IF(Bebidas!A16="","",Bebidas!D16)</f>
        <v/>
      </c>
      <c r="F56" s="4" t="str">
        <f>IF(Bebidas!A16="","",Bebidas!E16)</f>
        <v/>
      </c>
      <c r="G56" s="4" t="str">
        <f>IF(Bebidas!A16="","",Bebidas!F16)</f>
        <v/>
      </c>
      <c r="H56" s="4" t="str">
        <f>IF(Bebidas!A16="","",Bebidas!G16)</f>
        <v/>
      </c>
    </row>
    <row r="57" spans="1:8" x14ac:dyDescent="0.25">
      <c r="A57" s="6" t="str">
        <f>IF(Bebidas!A17="","","Bebidas")</f>
        <v/>
      </c>
      <c r="B57" s="2" t="str">
        <f>IF(Bebidas!A17="","",Bebidas!A17)</f>
        <v/>
      </c>
      <c r="C57" s="9" t="str">
        <f>IF(Bebidas!A17="","",Bebidas!B17)</f>
        <v/>
      </c>
      <c r="D57" s="3" t="str">
        <f>IF(Bebidas!A17="","",Bebidas!C17)</f>
        <v/>
      </c>
      <c r="E57" s="4" t="str">
        <f>IF(Bebidas!A17="","",Bebidas!D17)</f>
        <v/>
      </c>
      <c r="F57" s="4" t="str">
        <f>IF(Bebidas!A17="","",Bebidas!E17)</f>
        <v/>
      </c>
      <c r="G57" s="4" t="str">
        <f>IF(Bebidas!A17="","",Bebidas!F17)</f>
        <v/>
      </c>
      <c r="H57" s="4" t="str">
        <f>IF(Bebidas!A17="","",Bebidas!G17)</f>
        <v/>
      </c>
    </row>
    <row r="58" spans="1:8" x14ac:dyDescent="0.25">
      <c r="A58" s="6" t="str">
        <f>IF(Bebidas!A18="","","Bebidas")</f>
        <v/>
      </c>
      <c r="B58" s="2" t="str">
        <f>IF(Bebidas!A18="","",Bebidas!A18)</f>
        <v/>
      </c>
      <c r="C58" s="9" t="str">
        <f>IF(Bebidas!A18="","",Bebidas!B18)</f>
        <v/>
      </c>
      <c r="D58" s="3" t="str">
        <f>IF(Bebidas!A18="","",Bebidas!C18)</f>
        <v/>
      </c>
      <c r="E58" s="4" t="str">
        <f>IF(Bebidas!A18="","",Bebidas!D18)</f>
        <v/>
      </c>
      <c r="F58" s="4" t="str">
        <f>IF(Bebidas!A18="","",Bebidas!E18)</f>
        <v/>
      </c>
      <c r="G58" s="4" t="str">
        <f>IF(Bebidas!A18="","",Bebidas!F18)</f>
        <v/>
      </c>
      <c r="H58" s="4" t="str">
        <f>IF(Bebidas!A18="","",Bebidas!G18)</f>
        <v/>
      </c>
    </row>
    <row r="59" spans="1:8" x14ac:dyDescent="0.25">
      <c r="A59" s="6" t="str">
        <f>IF(Bebidas!A19="","","Bebidas")</f>
        <v/>
      </c>
      <c r="B59" s="2" t="str">
        <f>IF(Bebidas!A19="","",Bebidas!A19)</f>
        <v/>
      </c>
      <c r="C59" s="9" t="str">
        <f>IF(Bebidas!A19="","",Bebidas!B19)</f>
        <v/>
      </c>
      <c r="D59" s="3" t="str">
        <f>IF(Bebidas!A19="","",Bebidas!C19)</f>
        <v/>
      </c>
      <c r="E59" s="4" t="str">
        <f>IF(Bebidas!A19="","",Bebidas!D19)</f>
        <v/>
      </c>
      <c r="F59" s="4" t="str">
        <f>IF(Bebidas!A19="","",Bebidas!E19)</f>
        <v/>
      </c>
      <c r="G59" s="4" t="str">
        <f>IF(Bebidas!A19="","",Bebidas!F19)</f>
        <v/>
      </c>
      <c r="H59" s="4" t="str">
        <f>IF(Bebidas!A19="","",Bebidas!G19)</f>
        <v/>
      </c>
    </row>
    <row r="60" spans="1:8" x14ac:dyDescent="0.25">
      <c r="A60" s="6" t="str">
        <f>IF(Bebidas!A20="","","Bebidas")</f>
        <v/>
      </c>
      <c r="B60" s="2" t="str">
        <f>IF(Bebidas!A20="","",Bebidas!A20)</f>
        <v/>
      </c>
      <c r="C60" s="9" t="str">
        <f>IF(Bebidas!A20="","",Bebidas!B20)</f>
        <v/>
      </c>
      <c r="D60" s="3" t="str">
        <f>IF(Bebidas!A20="","",Bebidas!C20)</f>
        <v/>
      </c>
      <c r="E60" s="4" t="str">
        <f>IF(Bebidas!A20="","",Bebidas!D20)</f>
        <v/>
      </c>
      <c r="F60" s="4" t="str">
        <f>IF(Bebidas!A20="","",Bebidas!E20)</f>
        <v/>
      </c>
      <c r="G60" s="4" t="str">
        <f>IF(Bebidas!A20="","",Bebidas!F20)</f>
        <v/>
      </c>
      <c r="H60" s="4" t="str">
        <f>IF(Bebidas!A20="","",Bebidas!G20)</f>
        <v/>
      </c>
    </row>
    <row r="61" spans="1:8" x14ac:dyDescent="0.25">
      <c r="A61" s="6" t="str">
        <f>IF(Bebidas!A21="","","Bebidas")</f>
        <v/>
      </c>
      <c r="B61" s="2" t="str">
        <f>IF(Bebidas!A21="","",Bebidas!A21)</f>
        <v/>
      </c>
      <c r="C61" s="9" t="str">
        <f>IF(Bebidas!A21="","",Bebidas!B21)</f>
        <v/>
      </c>
      <c r="D61" s="3" t="str">
        <f>IF(Bebidas!A21="","",Bebidas!C21)</f>
        <v/>
      </c>
      <c r="E61" s="4" t="str">
        <f>IF(Bebidas!A21="","",Bebidas!D21)</f>
        <v/>
      </c>
      <c r="F61" s="4" t="str">
        <f>IF(Bebidas!A21="","",Bebidas!E21)</f>
        <v/>
      </c>
      <c r="G61" s="4" t="str">
        <f>IF(Bebidas!A21="","",Bebidas!F21)</f>
        <v/>
      </c>
      <c r="H61" s="4" t="str">
        <f>IF(Bebidas!A21="","",Bebidas!G21)</f>
        <v/>
      </c>
    </row>
    <row r="62" spans="1:8" x14ac:dyDescent="0.25">
      <c r="A62" s="6" t="str">
        <f>IF(Bebidas!A22="","","Bebidas")</f>
        <v/>
      </c>
      <c r="B62" s="2" t="str">
        <f>IF(Bebidas!A22="","",Bebidas!A22)</f>
        <v/>
      </c>
      <c r="C62" s="9" t="str">
        <f>IF(Bebidas!A22="","",Bebidas!B22)</f>
        <v/>
      </c>
      <c r="D62" s="3" t="str">
        <f>IF(Bebidas!A22="","",Bebidas!C22)</f>
        <v/>
      </c>
      <c r="E62" s="4" t="str">
        <f>IF(Bebidas!A22="","",Bebidas!D22)</f>
        <v/>
      </c>
      <c r="F62" s="4" t="str">
        <f>IF(Bebidas!A22="","",Bebidas!E22)</f>
        <v/>
      </c>
      <c r="G62" s="4" t="str">
        <f>IF(Bebidas!A22="","",Bebidas!F22)</f>
        <v/>
      </c>
      <c r="H62" s="4" t="str">
        <f>IF(Bebidas!A22="","",Bebidas!G22)</f>
        <v/>
      </c>
    </row>
    <row r="63" spans="1:8" x14ac:dyDescent="0.25">
      <c r="A63" s="6" t="str">
        <f>IF(Bebidas!A23="","","Bebidas")</f>
        <v/>
      </c>
      <c r="B63" s="2" t="str">
        <f>IF(Bebidas!A23="","",Bebidas!A23)</f>
        <v/>
      </c>
      <c r="C63" s="9" t="str">
        <f>IF(Bebidas!A23="","",Bebidas!B23)</f>
        <v/>
      </c>
      <c r="D63" s="3" t="str">
        <f>IF(Bebidas!A23="","",Bebidas!C23)</f>
        <v/>
      </c>
      <c r="E63" s="4" t="str">
        <f>IF(Bebidas!A23="","",Bebidas!D23)</f>
        <v/>
      </c>
      <c r="F63" s="4" t="str">
        <f>IF(Bebidas!A23="","",Bebidas!E23)</f>
        <v/>
      </c>
      <c r="G63" s="4" t="str">
        <f>IF(Bebidas!A23="","",Bebidas!F23)</f>
        <v/>
      </c>
      <c r="H63" s="4" t="str">
        <f>IF(Bebidas!A23="","",Bebidas!G23)</f>
        <v/>
      </c>
    </row>
    <row r="65" spans="1:8" x14ac:dyDescent="0.25">
      <c r="A65" s="19" t="s">
        <v>23</v>
      </c>
      <c r="B65" s="11"/>
      <c r="C65" s="11"/>
      <c r="D65" s="11"/>
      <c r="E65" s="11"/>
      <c r="F65" s="11"/>
      <c r="G65" s="11"/>
      <c r="H65" s="11"/>
    </row>
    <row r="66" spans="1:8" x14ac:dyDescent="0.25">
      <c r="A66" s="17" t="s">
        <v>24</v>
      </c>
      <c r="B66" s="11"/>
      <c r="D66" s="7">
        <f>SUMPRODUCT((B4:B63&lt;&gt;"")*(B4:B63&lt;&gt;0))</f>
        <v>0</v>
      </c>
    </row>
    <row r="68" spans="1:8" ht="30" customHeight="1" x14ac:dyDescent="0.25">
      <c r="A68" s="20" t="s">
        <v>25</v>
      </c>
      <c r="B68" s="11"/>
      <c r="C68" s="11"/>
      <c r="D68" s="11"/>
      <c r="E68" s="11"/>
      <c r="F68" s="11"/>
      <c r="G68" s="11"/>
      <c r="H68" s="11"/>
    </row>
    <row r="70" spans="1:8" x14ac:dyDescent="0.25">
      <c r="A70" s="16" t="s">
        <v>26</v>
      </c>
      <c r="B70" s="11"/>
      <c r="C70" s="11"/>
      <c r="D70" s="11"/>
      <c r="E70" s="11"/>
      <c r="F70" s="11"/>
      <c r="G70" s="11"/>
      <c r="H70" s="11"/>
    </row>
  </sheetData>
  <mergeCells count="6">
    <mergeCell ref="A1:H1"/>
    <mergeCell ref="A70:H70"/>
    <mergeCell ref="A66:B66"/>
    <mergeCell ref="A2:H2"/>
    <mergeCell ref="A65:H65"/>
    <mergeCell ref="A68:H6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Tutorial</vt:lpstr>
      <vt:lpstr>Doces</vt:lpstr>
      <vt:lpstr>Salgados</vt:lpstr>
      <vt:lpstr>Bebidas</vt:lpstr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KENZO IOCHIMOTO</cp:lastModifiedBy>
  <dcterms:created xsi:type="dcterms:W3CDTF">2026-03-04T18:48:06Z</dcterms:created>
  <dcterms:modified xsi:type="dcterms:W3CDTF">2026-03-06T15:36:14Z</dcterms:modified>
</cp:coreProperties>
</file>